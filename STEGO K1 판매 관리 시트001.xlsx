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문서\1. 이브이앤솔루션\20. AI\2. 목표관리시스템\evn-warp\"/>
    </mc:Choice>
  </mc:AlternateContent>
  <xr:revisionPtr revIDLastSave="0" documentId="8_{2AA9738C-978F-4ECB-81BA-37EA5F370A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B 수집" sheetId="1" r:id="rId1"/>
    <sheet name="성과 관리" sheetId="4" r:id="rId2"/>
  </sheets>
  <definedNames>
    <definedName name="_xlnm._FilterDatabase" localSheetId="0" hidden="1">'DB 수집'!$A$2:$AM$186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D16" i="4"/>
  <c r="D15" i="4"/>
  <c r="D13" i="4"/>
  <c r="D11" i="4"/>
  <c r="D9" i="4"/>
  <c r="D7" i="4"/>
  <c r="D17" i="4"/>
  <c r="D14" i="4"/>
  <c r="D12" i="4"/>
  <c r="D10" i="4"/>
  <c r="D8" i="4"/>
  <c r="D5" i="4"/>
  <c r="I16" i="4"/>
  <c r="I15" i="4"/>
  <c r="I13" i="4"/>
  <c r="I11" i="4"/>
  <c r="I9" i="4"/>
  <c r="I7" i="4"/>
  <c r="H9" i="4"/>
  <c r="H11" i="4"/>
  <c r="H15" i="4"/>
  <c r="H16" i="4"/>
  <c r="H13" i="4"/>
  <c r="G11" i="4"/>
  <c r="G9" i="4"/>
  <c r="F9" i="4"/>
  <c r="H7" i="4"/>
  <c r="G7" i="4"/>
  <c r="G15" i="4"/>
  <c r="G16" i="4"/>
  <c r="F16" i="4"/>
  <c r="F15" i="4"/>
  <c r="G13" i="4"/>
  <c r="F13" i="4"/>
  <c r="F7" i="4"/>
  <c r="F11" i="4"/>
  <c r="E16" i="4"/>
  <c r="E15" i="4"/>
  <c r="E13" i="4"/>
  <c r="E11" i="4"/>
  <c r="E9" i="4"/>
  <c r="E7" i="4"/>
  <c r="I12" i="4"/>
  <c r="H12" i="4"/>
  <c r="G12" i="4"/>
  <c r="F12" i="4"/>
  <c r="H5" i="4"/>
  <c r="G5" i="4"/>
  <c r="F5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E5" i="4"/>
  <c r="G17" i="4"/>
  <c r="C9" i="4"/>
  <c r="C11" i="4" s="1"/>
  <c r="C13" i="4" s="1"/>
  <c r="C16" i="4" s="1"/>
  <c r="C5" i="4"/>
  <c r="AF19" i="4"/>
  <c r="AG19" i="4"/>
  <c r="AH19" i="4"/>
  <c r="AI19" i="4"/>
  <c r="AJ19" i="4"/>
  <c r="X19" i="4"/>
  <c r="Y19" i="4"/>
  <c r="Z19" i="4"/>
  <c r="AA19" i="4"/>
  <c r="AB19" i="4"/>
  <c r="AC19" i="4"/>
  <c r="AD19" i="4"/>
  <c r="A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AI17" i="4"/>
  <c r="AJ17" i="4"/>
  <c r="X17" i="4"/>
  <c r="Y17" i="4"/>
  <c r="Z17" i="4"/>
  <c r="AA17" i="4"/>
  <c r="AB17" i="4"/>
  <c r="AC17" i="4"/>
  <c r="AD17" i="4"/>
  <c r="AE17" i="4"/>
  <c r="AF17" i="4"/>
  <c r="AG17" i="4"/>
  <c r="AH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E19" i="4"/>
  <c r="Y5" i="4"/>
  <c r="Z5" i="4"/>
  <c r="AA5" i="4"/>
  <c r="AB5" i="4"/>
  <c r="AC5" i="4"/>
  <c r="AD5" i="4"/>
  <c r="AE5" i="4"/>
  <c r="AF5" i="4"/>
  <c r="AG5" i="4"/>
  <c r="AH5" i="4"/>
  <c r="AI5" i="4"/>
  <c r="AJ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3" i="1"/>
  <c r="E10" i="4" l="1"/>
  <c r="E12" i="4"/>
  <c r="E14" i="4"/>
  <c r="F17" i="4"/>
  <c r="F14" i="4"/>
  <c r="I10" i="4"/>
  <c r="H10" i="4"/>
  <c r="G10" i="4"/>
  <c r="F10" i="4"/>
  <c r="I8" i="4"/>
  <c r="I5" i="4"/>
  <c r="H8" i="4"/>
  <c r="G8" i="4"/>
  <c r="F8" i="4"/>
  <c r="C15" i="4"/>
  <c r="E8" i="4"/>
  <c r="E17" i="4"/>
  <c r="C18" i="4"/>
  <c r="C24" i="4" s="1"/>
  <c r="C33" i="4" l="1"/>
  <c r="C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tc={9BF17F73-97B0-45AF-AC3D-812A788B386D}</author>
  </authors>
  <commentList>
    <comment ref="E8" authorId="0" shapeId="0" xr:uid="{9BF17F73-97B0-45AF-AC3D-812A788B386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이거 어느조에서 영업된 부분인지도 남겨주시면 좋겠습니다~</t>
      </text>
    </comment>
  </commentList>
</comments>
</file>

<file path=xl/sharedStrings.xml><?xml version="1.0" encoding="utf-8"?>
<sst xmlns="http://schemas.openxmlformats.org/spreadsheetml/2006/main" count="1106" uniqueCount="313">
  <si>
    <t>NO</t>
  </si>
  <si>
    <t>리드 데이터</t>
    <phoneticPr fontId="4" type="noConversion"/>
  </si>
  <si>
    <t>전화 상담 수집 데이터</t>
  </si>
  <si>
    <t>대면 상담 수집 데이터</t>
  </si>
  <si>
    <t>(선택사항)</t>
  </si>
  <si>
    <t>진행 단계</t>
  </si>
  <si>
    <t>세일즈 상태</t>
  </si>
  <si>
    <t>리드유형</t>
    <phoneticPr fontId="4" type="noConversion"/>
  </si>
  <si>
    <t>유입경로
(드롭다운)</t>
  </si>
  <si>
    <t>수집 날짜</t>
    <phoneticPr fontId="4" type="noConversion"/>
  </si>
  <si>
    <t>이름</t>
  </si>
  <si>
    <t>연락처
(010-0000-0000)</t>
  </si>
  <si>
    <t>비고</t>
    <phoneticPr fontId="4" type="noConversion"/>
  </si>
  <si>
    <t>전화 상담일
(yyyy.mm.dd)</t>
    <phoneticPr fontId="4" type="noConversion"/>
  </si>
  <si>
    <t>기존 보유차량 매입 여부
(O,X)</t>
  </si>
  <si>
    <t>기존차량</t>
  </si>
  <si>
    <t>교체사유</t>
  </si>
  <si>
    <t>차량 구매시기</t>
    <phoneticPr fontId="4" type="noConversion"/>
  </si>
  <si>
    <t>대면 상담일
(yyyy.mm.dd)</t>
    <phoneticPr fontId="4" type="noConversion"/>
  </si>
  <si>
    <t>매매 계약일
(yyyy.mm.dd)</t>
    <phoneticPr fontId="4" type="noConversion"/>
  </si>
  <si>
    <t>차량 출고일
(yyyy.mm.dd)</t>
    <phoneticPr fontId="4" type="noConversion"/>
  </si>
  <si>
    <t>고객 유형
(드롭다운)</t>
  </si>
  <si>
    <t>구매 방식
(드롭다운)</t>
  </si>
  <si>
    <t>캐피탈 조회
(O,X)</t>
  </si>
  <si>
    <t>실행 가능여부
(O,X)</t>
  </si>
  <si>
    <t>추천인</t>
  </si>
  <si>
    <t>출생연도</t>
  </si>
  <si>
    <t>지역 (도,특별시)</t>
  </si>
  <si>
    <t>지역 (시,군,구)</t>
  </si>
  <si>
    <t>차종</t>
  </si>
  <si>
    <t>차량 대수</t>
  </si>
  <si>
    <t>특장</t>
  </si>
  <si>
    <t>상온 / 냉동</t>
  </si>
  <si>
    <t>옵션(특장)</t>
  </si>
  <si>
    <t>차량 가격</t>
  </si>
  <si>
    <t>총 가격
(단위 : 만원)</t>
  </si>
  <si>
    <t>선수금
(단위 : 만원)</t>
  </si>
  <si>
    <t>월납액</t>
  </si>
  <si>
    <t>개월 수</t>
  </si>
  <si>
    <t>상담메모</t>
  </si>
  <si>
    <t>구매목적</t>
  </si>
  <si>
    <t>중요요소</t>
  </si>
  <si>
    <t>예시</t>
  </si>
  <si>
    <t>종결</t>
  </si>
  <si>
    <t>리드(오프라인)</t>
  </si>
  <si>
    <t>개인(슈마허)</t>
  </si>
  <si>
    <t>최도준</t>
  </si>
  <si>
    <t>010-1111-1234</t>
  </si>
  <si>
    <t>예시</t>
    <phoneticPr fontId="4" type="noConversion"/>
  </si>
  <si>
    <t>O</t>
  </si>
  <si>
    <t>X</t>
  </si>
  <si>
    <t>1개월 이내</t>
  </si>
  <si>
    <t>개인</t>
  </si>
  <si>
    <t>캐피탈</t>
  </si>
  <si>
    <t>젤로</t>
  </si>
  <si>
    <t>서울특별시</t>
  </si>
  <si>
    <t>관악구</t>
  </si>
  <si>
    <t>스테고K</t>
  </si>
  <si>
    <t>저상</t>
  </si>
  <si>
    <t>냉동</t>
  </si>
  <si>
    <t>도색(형광), 문 3개</t>
  </si>
  <si>
    <t>3.대면상담</t>
  </si>
  <si>
    <t>개인(슈마허)</t>
    <phoneticPr fontId="4" type="noConversion"/>
  </si>
  <si>
    <t>양국환</t>
  </si>
  <si>
    <t>010-3228-3996</t>
  </si>
  <si>
    <t>바로 대면상담으로 진행</t>
    <phoneticPr fontId="4" type="noConversion"/>
  </si>
  <si>
    <t>O</t>
    <phoneticPr fontId="4" type="noConversion"/>
  </si>
  <si>
    <t>기존 내연 임대차량 처분</t>
  </si>
  <si>
    <t>서울 특별시</t>
  </si>
  <si>
    <t>영등포</t>
  </si>
  <si>
    <t>스테고Z(구독)</t>
  </si>
  <si>
    <t>4도어</t>
  </si>
  <si>
    <t>무기한</t>
  </si>
  <si>
    <t>필리핀으로 일이 있어 7월 필리핀 입국 하여, 취소</t>
  </si>
  <si>
    <t>4.정식계약</t>
  </si>
  <si>
    <t>진행 중</t>
  </si>
  <si>
    <t>전진영</t>
  </si>
  <si>
    <t>010-6400-1144</t>
  </si>
  <si>
    <t>기존 가스차 처분</t>
  </si>
  <si>
    <t>2개월 이내</t>
  </si>
  <si>
    <t>경기도</t>
  </si>
  <si>
    <t>안양시</t>
  </si>
  <si>
    <t>정식계약 완료. 캐피탈 승인 5900만원 가능 통보 받음</t>
  </si>
  <si>
    <t>2.전화상담</t>
  </si>
  <si>
    <t>박순식</t>
  </si>
  <si>
    <t>010-8774-7077</t>
  </si>
  <si>
    <t>바로 전화상담으로 진행</t>
    <phoneticPr fontId="4" type="noConversion"/>
  </si>
  <si>
    <t>모름</t>
  </si>
  <si>
    <t>영둥포</t>
  </si>
  <si>
    <t>스테고z 에 붙어있는 광고문 보고 전화 주심. 차량구매,일거리 상세 프로세스 설명 완료. 추후 고민 후 연락 주신다 함.</t>
  </si>
  <si>
    <t>조영술</t>
  </si>
  <si>
    <t>010-4717-6760</t>
  </si>
  <si>
    <t>기존 임대차량 처분</t>
  </si>
  <si>
    <t>이현구</t>
  </si>
  <si>
    <t>군포시</t>
  </si>
  <si>
    <t>산본</t>
  </si>
  <si>
    <t>월 요금이 부담스러워 , 중고차로 따로 저렴하게 구매 하심. 약 1년 정도 하시다가 pv5 구매 예정.</t>
  </si>
  <si>
    <t>로드쇼</t>
  </si>
  <si>
    <t>박수용</t>
  </si>
  <si>
    <t>010-5359-1982</t>
  </si>
  <si>
    <t>생각 더 해보고 미팅 잡겠다고 하심</t>
  </si>
  <si>
    <t>박수준</t>
  </si>
  <si>
    <t>010-5690-9198</t>
  </si>
  <si>
    <t>현재 타고있는 차량 처분 후 말씀 나누자고 함</t>
  </si>
  <si>
    <t>이규원</t>
  </si>
  <si>
    <t>010-6422-1728</t>
  </si>
  <si>
    <t>자기차 말고 아버지 차량 바꿔드린다고 함. 현재 아버지가 몸 때문에 쉬고 계셔서 복귀쯤 연락 주신다고 함</t>
  </si>
  <si>
    <t>김경민</t>
  </si>
  <si>
    <t>010-2203-7041</t>
  </si>
  <si>
    <t>안산다고 전달 받음</t>
  </si>
  <si>
    <t>김주창</t>
  </si>
  <si>
    <t>010-4953-4080</t>
  </si>
  <si>
    <t>중고차로 더 알아보고 연락 주신다고 함.</t>
  </si>
  <si>
    <t>이상근</t>
  </si>
  <si>
    <t>010-5849-5960</t>
  </si>
  <si>
    <t>2회 이상 부재</t>
  </si>
  <si>
    <t>임호빈</t>
  </si>
  <si>
    <t>010-5327-8314</t>
  </si>
  <si>
    <t>문성욱</t>
  </si>
  <si>
    <t>010-2344-9056</t>
  </si>
  <si>
    <t>*7월 넘버 이슈로 인해, 7월 출고 가능하면 4대 구매 가능*</t>
  </si>
  <si>
    <t>김미자</t>
  </si>
  <si>
    <t>010-3088-1395</t>
  </si>
  <si>
    <t>스테고 수리 문의지 사려고 기입한게 아니라고 전달받음</t>
  </si>
  <si>
    <t>A/S 스테고-Z 차량 건의사항 문의 (브레이크)</t>
  </si>
  <si>
    <t>박상희</t>
  </si>
  <si>
    <t>010-3168-0392</t>
  </si>
  <si>
    <t>김준성</t>
  </si>
  <si>
    <t>010-8113-9313</t>
  </si>
  <si>
    <t>정해수</t>
  </si>
  <si>
    <t>010-5363-9108</t>
  </si>
  <si>
    <t>심원흠</t>
  </si>
  <si>
    <t>010-3158-6632</t>
  </si>
  <si>
    <t>새차 산지 3개월 밖에 안돼서 아직 생각 없다고 함. 매입 이야기는 꺼냈으나 고민 해보신다고 함.</t>
  </si>
  <si>
    <t>범석환</t>
  </si>
  <si>
    <t>010-5620-3342</t>
  </si>
  <si>
    <t>캐피탈 신용 승인거절 ( 아담님 : 투자생각으로 임대 가격올려서 임대로 전향 ) 스테고 &gt; pv5</t>
  </si>
  <si>
    <t>커머셜 승인 거절/ 슈마허 개인 캐피탈사 승인거절 로 인해 불가 예상 ( 아담님 : 투자생각으로 임대 가격올려서 임대로 전향 )</t>
  </si>
  <si>
    <t>김현진</t>
  </si>
  <si>
    <t>010-4967-7666</t>
  </si>
  <si>
    <t>1.성숙리드</t>
  </si>
  <si>
    <t>조성운</t>
  </si>
  <si>
    <t>010-2922-3874</t>
  </si>
  <si>
    <t>부재 중</t>
  </si>
  <si>
    <t>윤정헌</t>
  </si>
  <si>
    <t>010-8909-5858</t>
  </si>
  <si>
    <t>0625 오전 통화 하였으나, 부재. 저녁에 다시 연락 드릴예정 (안내문자발송완료)</t>
  </si>
  <si>
    <t>김영남</t>
  </si>
  <si>
    <t>010-3932-5778</t>
  </si>
  <si>
    <t>이효연</t>
  </si>
  <si>
    <t>010-4025-7271</t>
  </si>
  <si>
    <t>유형룡</t>
  </si>
  <si>
    <t>010-8222-8425</t>
  </si>
  <si>
    <t>김지훈</t>
  </si>
  <si>
    <t>010-4867-6338</t>
  </si>
  <si>
    <t>박경덕</t>
  </si>
  <si>
    <t>010-4560-9858</t>
  </si>
  <si>
    <t>박근</t>
  </si>
  <si>
    <t>010-3827-9668</t>
  </si>
  <si>
    <t>조성욱</t>
  </si>
  <si>
    <t>010-6423-3175</t>
  </si>
  <si>
    <t>조창혁</t>
  </si>
  <si>
    <t>010-4768-6655</t>
  </si>
  <si>
    <t>공정호</t>
  </si>
  <si>
    <t>010-8630-6559</t>
  </si>
  <si>
    <t>김성용</t>
  </si>
  <si>
    <t>010-6423-8647</t>
  </si>
  <si>
    <t>김대건</t>
  </si>
  <si>
    <t>010-3734-5356</t>
  </si>
  <si>
    <t>김훈</t>
  </si>
  <si>
    <t>010-9646-5057</t>
  </si>
  <si>
    <t>임경신</t>
  </si>
  <si>
    <t>010-8780-1642</t>
  </si>
  <si>
    <t>0625 오전 통화 완료. ( 다른 일정 중이시라서 문자 남겨놔주면 저녁에 전화 해서 이야기나누기로함)</t>
  </si>
  <si>
    <t>박영민</t>
  </si>
  <si>
    <t>010-2077-6880</t>
  </si>
  <si>
    <t>이동우</t>
  </si>
  <si>
    <t>010-7651-5550</t>
  </si>
  <si>
    <t>번호가 틀림,, 다시 찾아보고 연락 예정</t>
  </si>
  <si>
    <t>이정</t>
  </si>
  <si>
    <t>010-8683-8727</t>
  </si>
  <si>
    <t>임민휘</t>
  </si>
  <si>
    <t>010-8244-7717</t>
  </si>
  <si>
    <r>
      <t>5</t>
    </r>
    <r>
      <rPr>
        <b/>
        <sz val="11"/>
        <color rgb="FF000000"/>
        <rFont val="Malgun Gothic"/>
        <family val="2"/>
        <charset val="129"/>
      </rPr>
      <t>월</t>
    </r>
    <phoneticPr fontId="4" type="noConversion"/>
  </si>
  <si>
    <r>
      <t>6</t>
    </r>
    <r>
      <rPr>
        <b/>
        <sz val="11"/>
        <color rgb="FF000000"/>
        <rFont val="Malgun Gothic"/>
        <family val="2"/>
        <charset val="129"/>
      </rPr>
      <t>월</t>
    </r>
    <phoneticPr fontId="4" type="noConversion"/>
  </si>
  <si>
    <r>
      <t>7</t>
    </r>
    <r>
      <rPr>
        <b/>
        <sz val="11"/>
        <color rgb="FF000000"/>
        <rFont val="Malgun Gothic"/>
        <family val="2"/>
        <charset val="129"/>
      </rPr>
      <t>월</t>
    </r>
    <phoneticPr fontId="4" type="noConversion"/>
  </si>
  <si>
    <r>
      <t>8</t>
    </r>
    <r>
      <rPr>
        <b/>
        <sz val="11"/>
        <color rgb="FF000000"/>
        <rFont val="Malgun Gothic"/>
        <family val="2"/>
        <charset val="129"/>
      </rPr>
      <t>월</t>
    </r>
    <phoneticPr fontId="4" type="noConversion"/>
  </si>
  <si>
    <r>
      <t>9</t>
    </r>
    <r>
      <rPr>
        <b/>
        <sz val="10"/>
        <color rgb="FF000000"/>
        <rFont val="Malgun Gothic"/>
        <family val="2"/>
        <charset val="129"/>
      </rPr>
      <t>월</t>
    </r>
    <phoneticPr fontId="4" type="noConversion"/>
  </si>
  <si>
    <r>
      <t>10</t>
    </r>
    <r>
      <rPr>
        <b/>
        <sz val="10"/>
        <color rgb="FF000000"/>
        <rFont val="Malgun Gothic"/>
        <family val="2"/>
        <charset val="129"/>
      </rPr>
      <t>월</t>
    </r>
    <phoneticPr fontId="4" type="noConversion"/>
  </si>
  <si>
    <r>
      <t>11</t>
    </r>
    <r>
      <rPr>
        <b/>
        <sz val="10"/>
        <color rgb="FF000000"/>
        <rFont val="Malgun Gothic"/>
        <family val="2"/>
        <charset val="129"/>
      </rPr>
      <t>월</t>
    </r>
    <phoneticPr fontId="4" type="noConversion"/>
  </si>
  <si>
    <r>
      <t>12</t>
    </r>
    <r>
      <rPr>
        <b/>
        <sz val="10"/>
        <color rgb="FF000000"/>
        <rFont val="Malgun Gothic"/>
        <family val="2"/>
        <charset val="129"/>
      </rPr>
      <t>월</t>
    </r>
    <phoneticPr fontId="4" type="noConversion"/>
  </si>
  <si>
    <t>5/1 - 5/31</t>
    <phoneticPr fontId="4" type="noConversion"/>
  </si>
  <si>
    <t>6/1 - 6/7</t>
  </si>
  <si>
    <t>6/8 - 6/14</t>
  </si>
  <si>
    <t>6/15 - 6/21</t>
  </si>
  <si>
    <t>6/22 - 6/28</t>
  </si>
  <si>
    <t>6/29 - 7/5</t>
  </si>
  <si>
    <t>7/6 - 7/12</t>
  </si>
  <si>
    <t>7/13 - 7/19</t>
  </si>
  <si>
    <t>7/20 - 7/26</t>
  </si>
  <si>
    <t>7/27 - 8/2</t>
  </si>
  <si>
    <t>8/3 - 8/9</t>
  </si>
  <si>
    <t>8/10 - 8/16</t>
  </si>
  <si>
    <t>8/17 - 8/23</t>
  </si>
  <si>
    <t>8/24 - 8/30</t>
  </si>
  <si>
    <t>8/31 - 9/6</t>
  </si>
  <si>
    <t>9/7 - 9/13</t>
  </si>
  <si>
    <t>9/14 - 9/20</t>
  </si>
  <si>
    <t>9/21 - 9/27</t>
  </si>
  <si>
    <t>9/28 - 10/4</t>
  </si>
  <si>
    <t>10/5 - 10/11</t>
  </si>
  <si>
    <t>10/12 - 10/18</t>
  </si>
  <si>
    <t>10/19 - 10/24</t>
  </si>
  <si>
    <t>10/25 - 11/1</t>
  </si>
  <si>
    <t>11/2 - 11/8</t>
    <phoneticPr fontId="4" type="noConversion"/>
  </si>
  <si>
    <t>11/9 - 11/15</t>
    <phoneticPr fontId="4" type="noConversion"/>
  </si>
  <si>
    <t>11/16 - 11/22</t>
    <phoneticPr fontId="4" type="noConversion"/>
  </si>
  <si>
    <t>11/23 - 11/29</t>
    <phoneticPr fontId="4" type="noConversion"/>
  </si>
  <si>
    <t>11/30 - 12/6</t>
    <phoneticPr fontId="4" type="noConversion"/>
  </si>
  <si>
    <t>12/7 - 12/13</t>
    <phoneticPr fontId="4" type="noConversion"/>
  </si>
  <si>
    <t>12/14 - 12/20</t>
    <phoneticPr fontId="4" type="noConversion"/>
  </si>
  <si>
    <t>12/21 - 12/27</t>
    <phoneticPr fontId="4" type="noConversion"/>
  </si>
  <si>
    <t>12/28 - 1/3</t>
    <phoneticPr fontId="4" type="noConversion"/>
  </si>
  <si>
    <t>　</t>
  </si>
  <si>
    <t>항목</t>
  </si>
  <si>
    <t>월간목표</t>
  </si>
  <si>
    <t>누적 성과</t>
  </si>
  <si>
    <r>
      <t>5</t>
    </r>
    <r>
      <rPr>
        <b/>
        <sz val="11"/>
        <color rgb="FF000000"/>
        <rFont val="Malgun Gothic"/>
        <family val="2"/>
        <charset val="129"/>
      </rPr>
      <t>월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현황</t>
    </r>
    <phoneticPr fontId="4" type="noConversion"/>
  </si>
  <si>
    <t>2주차 현황</t>
  </si>
  <si>
    <t>3주차 현황</t>
  </si>
  <si>
    <t>4주차 현황</t>
  </si>
  <si>
    <t>5주차 현황</t>
  </si>
  <si>
    <t>6주차 현황</t>
  </si>
  <si>
    <t>7주차 현황</t>
  </si>
  <si>
    <t>8주차 현황</t>
  </si>
  <si>
    <t>9주차 현황</t>
  </si>
  <si>
    <t>10주차 현황</t>
  </si>
  <si>
    <t>11주차 현황</t>
  </si>
  <si>
    <t>12주차 현황</t>
  </si>
  <si>
    <t>13주차 현황</t>
  </si>
  <si>
    <t>14주차 현황</t>
  </si>
  <si>
    <t>15주차 현황</t>
  </si>
  <si>
    <t>16주차 현황</t>
  </si>
  <si>
    <t>17주차 현황</t>
  </si>
  <si>
    <t>18주차 현황</t>
  </si>
  <si>
    <t>19주차 현황</t>
  </si>
  <si>
    <t>20주차 현황</t>
  </si>
  <si>
    <t>21주차 현황</t>
  </si>
  <si>
    <t>22주차 현황</t>
  </si>
  <si>
    <t>23주차 현황</t>
  </si>
  <si>
    <t>24주차 현황</t>
  </si>
  <si>
    <t>25주차 현황</t>
  </si>
  <si>
    <t>26주차 현황</t>
  </si>
  <si>
    <t>27주차 현황</t>
  </si>
  <si>
    <t>28주차 현황</t>
  </si>
  <si>
    <t>29주차 현황</t>
  </si>
  <si>
    <t>30주차 현황</t>
  </si>
  <si>
    <t>31주차 현황</t>
  </si>
  <si>
    <t>32주차 현황</t>
  </si>
  <si>
    <t>33주차 현황</t>
  </si>
  <si>
    <t>34주차 현황</t>
  </si>
  <si>
    <t>35주차 현황</t>
  </si>
  <si>
    <t>36주차 현황</t>
  </si>
  <si>
    <t>37주차 현황</t>
  </si>
  <si>
    <t>38주차 현황</t>
  </si>
  <si>
    <t>39주차 현황</t>
  </si>
  <si>
    <t>40주차 현황</t>
  </si>
  <si>
    <t>41주차 현황</t>
  </si>
  <si>
    <t>42주차 현황</t>
  </si>
  <si>
    <t>43주차 현황</t>
  </si>
  <si>
    <t>44주차 현황</t>
  </si>
  <si>
    <t>45주차 현황</t>
  </si>
  <si>
    <t>46주차 현황</t>
  </si>
  <si>
    <t>47주차 현황</t>
  </si>
  <si>
    <t>48주차 현황</t>
  </si>
  <si>
    <t>49주차 현황</t>
  </si>
  <si>
    <t>50주차 현황</t>
  </si>
  <si>
    <t>51주차 현황</t>
  </si>
  <si>
    <t>52주차 현황</t>
  </si>
  <si>
    <t>성과</t>
  </si>
  <si>
    <t>매출</t>
  </si>
  <si>
    <t>객단가</t>
  </si>
  <si>
    <t>구매확정 수</t>
  </si>
  <si>
    <t>구매확정 전환율</t>
    <phoneticPr fontId="4" type="noConversion"/>
  </si>
  <si>
    <t>정식계약 수</t>
  </si>
  <si>
    <t>정식계약 전환율</t>
    <phoneticPr fontId="4" type="noConversion"/>
  </si>
  <si>
    <t>대면상담 수</t>
  </si>
  <si>
    <t>대면상담 연계율</t>
    <phoneticPr fontId="4" type="noConversion"/>
  </si>
  <si>
    <t>전화상담 수</t>
  </si>
  <si>
    <t>전화상담수 연계율</t>
    <phoneticPr fontId="4" type="noConversion"/>
  </si>
  <si>
    <t>리드 데이터(온라인)</t>
  </si>
  <si>
    <t>리드 데이터</t>
  </si>
  <si>
    <t>신청서작성 전환율(온라인)</t>
    <phoneticPr fontId="4" type="noConversion"/>
  </si>
  <si>
    <r>
      <rPr>
        <b/>
        <sz val="11"/>
        <color rgb="FF000000"/>
        <rFont val="Malgun Gothic"/>
        <family val="2"/>
        <charset val="129"/>
      </rPr>
      <t>설득용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콘텐츠</t>
    </r>
    <phoneticPr fontId="4" type="noConversion"/>
  </si>
  <si>
    <t>키콘텐츠 조회수</t>
  </si>
  <si>
    <t>키콘텐츠 연계율</t>
  </si>
  <si>
    <t>시청지속시간(초)</t>
  </si>
  <si>
    <t>클릭률</t>
  </si>
  <si>
    <t>검색 유입</t>
  </si>
  <si>
    <t>-</t>
  </si>
  <si>
    <t>페이지 유입</t>
  </si>
  <si>
    <r>
      <rPr>
        <b/>
        <sz val="11"/>
        <color rgb="FF000000"/>
        <rFont val="Malgun Gothic"/>
        <family val="2"/>
        <charset val="129"/>
      </rPr>
      <t>공감용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Malgun Gothic"/>
        <family val="2"/>
        <charset val="129"/>
      </rPr>
      <t>콘텐츠</t>
    </r>
    <phoneticPr fontId="4" type="noConversion"/>
  </si>
  <si>
    <t>풀링콘텐츠 조회수</t>
  </si>
  <si>
    <t>월간 구독자 증가수</t>
  </si>
  <si>
    <t>구독전환율</t>
  </si>
  <si>
    <t>Shorts 조회수</t>
  </si>
  <si>
    <t>시청지속시간</t>
  </si>
  <si>
    <t>탐색 유입</t>
  </si>
  <si>
    <t>하루평균 조회수</t>
  </si>
  <si>
    <t>48시간 조회수</t>
  </si>
  <si>
    <t>콘텐츠당 필요 조회수</t>
  </si>
  <si>
    <t>월 평균 업로드 수</t>
  </si>
  <si>
    <t xml:space="preserve">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</si>
</sst>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176" formatCode="mm&quot;월&quot;\ dd&quot;일&quot;"/>
    <numFmt numFmtId="177" formatCode="0_ "/>
    <numFmt numFmtId="178" formatCode="0_);[Red]\(0\)"/>
  </numFmts>
  <fonts count="1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1"/>
      <color rgb="FF000000"/>
      <name val="Malgun Gothic"/>
      <family val="2"/>
      <charset val="129"/>
    </font>
    <font>
      <b/>
      <sz val="11"/>
      <color rgb="FF000000"/>
      <name val="Arial"/>
      <family val="2"/>
    </font>
    <font>
      <sz val="9"/>
      <color rgb="FF000000"/>
      <name val="Malgun Gothic"/>
      <family val="2"/>
      <charset val="129"/>
    </font>
    <font>
      <sz val="11"/>
      <color rgb="FF000000"/>
      <name val="Arial"/>
      <family val="2"/>
    </font>
    <font>
      <b/>
      <sz val="10"/>
      <color rgb="FF000000"/>
      <name val="Malgun Gothic"/>
      <family val="2"/>
      <charset val="129"/>
    </font>
    <font>
      <b/>
      <sz val="10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9900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9900"/>
      </patternFill>
    </fill>
    <fill>
      <patternFill patternType="solid">
        <fgColor theme="7"/>
        <bgColor rgb="FFCCCC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CCCCCC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CCCCCC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CCCC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CCCCCC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CCCCCC"/>
      </patternFill>
    </fill>
    <fill>
      <patternFill patternType="solid">
        <fgColor rgb="FFFFC000"/>
        <bgColor rgb="FFCCCCCC"/>
      </patternFill>
    </fill>
    <fill>
      <patternFill patternType="solid">
        <fgColor rgb="FFFF0000"/>
        <bgColor rgb="FF999999"/>
      </patternFill>
    </fill>
    <fill>
      <patternFill patternType="solid">
        <fgColor theme="5" tint="0.39997558519241921"/>
        <bgColor rgb="FF999999"/>
      </patternFill>
    </fill>
    <fill>
      <patternFill patternType="solid">
        <fgColor theme="9" tint="-0.249977111117893"/>
        <bgColor rgb="FF999999"/>
      </patternFill>
    </fill>
    <fill>
      <patternFill patternType="solid">
        <fgColor rgb="FF00FF02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0" fillId="0" borderId="1" xfId="0" applyNumberForma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5" fillId="0" borderId="0" xfId="0" applyFont="1"/>
    <xf numFmtId="0" fontId="6" fillId="9" borderId="13" xfId="0" applyFont="1" applyFill="1" applyBorder="1"/>
    <xf numFmtId="6" fontId="7" fillId="9" borderId="13" xfId="0" applyNumberFormat="1" applyFont="1" applyFill="1" applyBorder="1"/>
    <xf numFmtId="0" fontId="5" fillId="0" borderId="13" xfId="0" applyFont="1" applyBorder="1"/>
    <xf numFmtId="6" fontId="5" fillId="0" borderId="13" xfId="0" applyNumberFormat="1" applyFont="1" applyBorder="1"/>
    <xf numFmtId="0" fontId="6" fillId="10" borderId="13" xfId="0" applyFont="1" applyFill="1" applyBorder="1"/>
    <xf numFmtId="0" fontId="7" fillId="10" borderId="13" xfId="0" applyFont="1" applyFill="1" applyBorder="1"/>
    <xf numFmtId="9" fontId="7" fillId="9" borderId="13" xfId="0" applyNumberFormat="1" applyFont="1" applyFill="1" applyBorder="1"/>
    <xf numFmtId="10" fontId="5" fillId="0" borderId="13" xfId="0" applyNumberFormat="1" applyFont="1" applyBorder="1"/>
    <xf numFmtId="3" fontId="7" fillId="10" borderId="13" xfId="0" applyNumberFormat="1" applyFont="1" applyFill="1" applyBorder="1"/>
    <xf numFmtId="0" fontId="6" fillId="9" borderId="14" xfId="0" applyFont="1" applyFill="1" applyBorder="1"/>
    <xf numFmtId="0" fontId="7" fillId="9" borderId="14" xfId="0" applyFont="1" applyFill="1" applyBorder="1"/>
    <xf numFmtId="0" fontId="5" fillId="0" borderId="14" xfId="0" applyFont="1" applyBorder="1"/>
    <xf numFmtId="0" fontId="8" fillId="0" borderId="13" xfId="0" applyFont="1" applyBorder="1"/>
    <xf numFmtId="20" fontId="5" fillId="0" borderId="13" xfId="0" applyNumberFormat="1" applyFont="1" applyBorder="1"/>
    <xf numFmtId="0" fontId="8" fillId="11" borderId="13" xfId="0" applyFont="1" applyFill="1" applyBorder="1"/>
    <xf numFmtId="9" fontId="5" fillId="11" borderId="13" xfId="0" applyNumberFormat="1" applyFont="1" applyFill="1" applyBorder="1"/>
    <xf numFmtId="0" fontId="5" fillId="0" borderId="13" xfId="0" quotePrefix="1" applyFont="1" applyBorder="1"/>
    <xf numFmtId="0" fontId="8" fillId="0" borderId="14" xfId="0" applyFont="1" applyBorder="1"/>
    <xf numFmtId="0" fontId="5" fillId="0" borderId="14" xfId="0" quotePrefix="1" applyFont="1" applyBorder="1"/>
    <xf numFmtId="0" fontId="9" fillId="0" borderId="13" xfId="0" applyFont="1" applyBorder="1"/>
    <xf numFmtId="10" fontId="9" fillId="0" borderId="13" xfId="0" applyNumberFormat="1" applyFont="1" applyBorder="1"/>
    <xf numFmtId="0" fontId="8" fillId="12" borderId="13" xfId="0" applyFont="1" applyFill="1" applyBorder="1"/>
    <xf numFmtId="9" fontId="9" fillId="12" borderId="13" xfId="0" applyNumberFormat="1" applyFont="1" applyFill="1" applyBorder="1"/>
    <xf numFmtId="0" fontId="5" fillId="12" borderId="13" xfId="0" quotePrefix="1" applyFont="1" applyFill="1" applyBorder="1"/>
    <xf numFmtId="0" fontId="5" fillId="13" borderId="0" xfId="0" applyFont="1" applyFill="1"/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7" fillId="14" borderId="15" xfId="0" applyFont="1" applyFill="1" applyBorder="1" applyAlignment="1">
      <alignment horizontal="center"/>
    </xf>
    <xf numFmtId="0" fontId="7" fillId="16" borderId="15" xfId="0" applyFont="1" applyFill="1" applyBorder="1" applyAlignment="1">
      <alignment horizontal="center"/>
    </xf>
    <xf numFmtId="0" fontId="7" fillId="19" borderId="15" xfId="0" applyFont="1" applyFill="1" applyBorder="1" applyAlignment="1">
      <alignment horizontal="center"/>
    </xf>
    <xf numFmtId="0" fontId="7" fillId="21" borderId="1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76" fontId="7" fillId="19" borderId="15" xfId="0" applyNumberFormat="1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/>
    </xf>
    <xf numFmtId="0" fontId="7" fillId="25" borderId="15" xfId="0" applyFont="1" applyFill="1" applyBorder="1" applyAlignment="1">
      <alignment horizontal="center"/>
    </xf>
    <xf numFmtId="0" fontId="7" fillId="28" borderId="15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17" borderId="15" xfId="0" applyFont="1" applyFill="1" applyBorder="1" applyAlignment="1">
      <alignment horizontal="center"/>
    </xf>
    <xf numFmtId="0" fontId="6" fillId="17" borderId="15" xfId="0" applyFont="1" applyFill="1" applyBorder="1" applyAlignment="1">
      <alignment horizontal="center"/>
    </xf>
    <xf numFmtId="0" fontId="7" fillId="18" borderId="15" xfId="0" applyFont="1" applyFill="1" applyBorder="1" applyAlignment="1">
      <alignment horizontal="center"/>
    </xf>
    <xf numFmtId="0" fontId="6" fillId="20" borderId="15" xfId="0" applyFont="1" applyFill="1" applyBorder="1" applyAlignment="1">
      <alignment horizontal="center"/>
    </xf>
    <xf numFmtId="0" fontId="7" fillId="20" borderId="15" xfId="0" applyFont="1" applyFill="1" applyBorder="1" applyAlignment="1">
      <alignment horizontal="center"/>
    </xf>
    <xf numFmtId="0" fontId="6" fillId="22" borderId="15" xfId="0" applyFont="1" applyFill="1" applyBorder="1" applyAlignment="1">
      <alignment horizontal="center"/>
    </xf>
    <xf numFmtId="0" fontId="6" fillId="24" borderId="15" xfId="0" applyFont="1" applyFill="1" applyBorder="1" applyAlignment="1">
      <alignment horizontal="center"/>
    </xf>
    <xf numFmtId="0" fontId="6" fillId="26" borderId="15" xfId="0" applyFont="1" applyFill="1" applyBorder="1" applyAlignment="1">
      <alignment horizontal="center"/>
    </xf>
    <xf numFmtId="0" fontId="6" fillId="27" borderId="15" xfId="0" applyFont="1" applyFill="1" applyBorder="1" applyAlignment="1">
      <alignment horizontal="center"/>
    </xf>
    <xf numFmtId="0" fontId="6" fillId="29" borderId="15" xfId="0" applyFont="1" applyFill="1" applyBorder="1" applyAlignment="1">
      <alignment horizontal="center"/>
    </xf>
    <xf numFmtId="0" fontId="6" fillId="30" borderId="15" xfId="0" applyFont="1" applyFill="1" applyBorder="1" applyAlignment="1">
      <alignment horizontal="center"/>
    </xf>
    <xf numFmtId="0" fontId="6" fillId="34" borderId="13" xfId="0" applyFont="1" applyFill="1" applyBorder="1"/>
    <xf numFmtId="177" fontId="7" fillId="34" borderId="13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1" fillId="5" borderId="7" xfId="0" applyNumberFormat="1" applyFont="1" applyFill="1" applyBorder="1" applyAlignment="1">
      <alignment vertical="center"/>
    </xf>
    <xf numFmtId="14" fontId="1" fillId="0" borderId="6" xfId="0" applyNumberFormat="1" applyFont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3" fillId="6" borderId="5" xfId="0" applyFont="1" applyFill="1" applyBorder="1" applyAlignment="1">
      <alignment vertical="center"/>
    </xf>
    <xf numFmtId="14" fontId="13" fillId="0" borderId="18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4" fontId="13" fillId="0" borderId="18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/>
    </xf>
    <xf numFmtId="14" fontId="13" fillId="0" borderId="5" xfId="0" applyNumberFormat="1" applyFont="1" applyBorder="1" applyAlignment="1">
      <alignment horizontal="center"/>
    </xf>
    <xf numFmtId="14" fontId="13" fillId="6" borderId="5" xfId="0" applyNumberFormat="1" applyFont="1" applyFill="1" applyBorder="1" applyAlignment="1">
      <alignment vertical="center"/>
    </xf>
    <xf numFmtId="14" fontId="13" fillId="0" borderId="9" xfId="0" applyNumberFormat="1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/>
    </xf>
    <xf numFmtId="14" fontId="1" fillId="5" borderId="5" xfId="0" applyNumberFormat="1" applyFont="1" applyFill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4" fontId="14" fillId="5" borderId="5" xfId="0" applyNumberFormat="1" applyFont="1" applyFill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/>
    </xf>
    <xf numFmtId="178" fontId="6" fillId="34" borderId="13" xfId="0" applyNumberFormat="1" applyFont="1" applyFill="1" applyBorder="1"/>
    <xf numFmtId="178" fontId="7" fillId="34" borderId="13" xfId="0" applyNumberFormat="1" applyFont="1" applyFill="1" applyBorder="1"/>
    <xf numFmtId="178" fontId="5" fillId="0" borderId="13" xfId="0" applyNumberFormat="1" applyFont="1" applyBorder="1"/>
    <xf numFmtId="178" fontId="0" fillId="0" borderId="0" xfId="0" applyNumberFormat="1"/>
    <xf numFmtId="9" fontId="6" fillId="9" borderId="13" xfId="0" applyNumberFormat="1" applyFont="1" applyFill="1" applyBorder="1"/>
    <xf numFmtId="9" fontId="5" fillId="0" borderId="13" xfId="0" applyNumberFormat="1" applyFont="1" applyBorder="1"/>
    <xf numFmtId="9" fontId="0" fillId="0" borderId="0" xfId="0" applyNumberFormat="1"/>
    <xf numFmtId="0" fontId="0" fillId="3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6" borderId="3" xfId="0" applyFont="1" applyFill="1" applyBorder="1" applyAlignment="1">
      <alignment horizontal="center"/>
    </xf>
    <xf numFmtId="0" fontId="14" fillId="35" borderId="3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0" fontId="6" fillId="37" borderId="1" xfId="0" applyFont="1" applyFill="1" applyBorder="1" applyAlignment="1">
      <alignment horizontal="center"/>
    </xf>
    <xf numFmtId="6" fontId="9" fillId="9" borderId="13" xfId="0" applyNumberFormat="1" applyFont="1" applyFill="1" applyBorder="1"/>
    <xf numFmtId="0" fontId="6" fillId="9" borderId="9" xfId="0" applyFont="1" applyFill="1" applyBorder="1"/>
    <xf numFmtId="9" fontId="7" fillId="9" borderId="9" xfId="0" applyNumberFormat="1" applyFont="1" applyFill="1" applyBorder="1"/>
    <xf numFmtId="10" fontId="5" fillId="0" borderId="9" xfId="0" applyNumberFormat="1" applyFont="1" applyBorder="1"/>
    <xf numFmtId="0" fontId="5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2" fillId="31" borderId="10" xfId="0" applyFont="1" applyFill="1" applyBorder="1" applyAlignment="1">
      <alignment horizontal="center" vertical="center"/>
    </xf>
    <xf numFmtId="0" fontId="12" fillId="31" borderId="11" xfId="0" applyFont="1" applyFill="1" applyBorder="1" applyAlignment="1">
      <alignment horizontal="center" vertical="center"/>
    </xf>
    <xf numFmtId="0" fontId="12" fillId="31" borderId="4" xfId="0" applyFont="1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7" fillId="32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33" borderId="11" xfId="0" applyFont="1" applyFill="1" applyBorder="1" applyAlignment="1">
      <alignment horizontal="center" vertical="center"/>
    </xf>
    <xf numFmtId="0" fontId="7" fillId="33" borderId="12" xfId="0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center"/>
    </xf>
    <xf numFmtId="0" fontId="7" fillId="19" borderId="15" xfId="0" applyFont="1" applyFill="1" applyBorder="1" applyAlignment="1">
      <alignment horizontal="center"/>
    </xf>
    <xf numFmtId="0" fontId="7" fillId="21" borderId="15" xfId="0" applyFont="1" applyFill="1" applyBorder="1" applyAlignment="1">
      <alignment horizontal="center"/>
    </xf>
    <xf numFmtId="0" fontId="11" fillId="23" borderId="15" xfId="0" applyFont="1" applyFill="1" applyBorder="1" applyAlignment="1">
      <alignment horizontal="center"/>
    </xf>
    <xf numFmtId="0" fontId="11" fillId="25" borderId="15" xfId="0" applyFont="1" applyFill="1" applyBorder="1" applyAlignment="1">
      <alignment horizontal="center"/>
    </xf>
    <xf numFmtId="0" fontId="11" fillId="28" borderId="15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Medium9"/>
  <colors>
    <mruColors>
      <color rgb="FF00FF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fo" id="{1286D284-530F-4064-B78B-2F029A543695}" userId="S::info@evnsolution.com::cea6ecbe-c8e5-4a55-b8b4-6adb69f27524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6-06-08T02:19:20.34" personId="{1286D284-530F-4064-B78B-2F029A543695}" id="{9BF17F73-97B0-45AF-AC3D-812A788B386D}">
    <text>이거 어느조에서 영업된 부분인지도 남겨주시면 좋겠습니다~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9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G14" sqref="G14"/>
    </sheetView>
  </sheetViews>
  <sheetFormatPr defaultColWidth="9" defaultRowHeight="16.5" customHeight="1"/>
  <cols>
    <col min="1" max="1" width="9" style="2"/>
    <col min="2" max="3" width="15.83203125" style="12" customWidth="1"/>
    <col min="4" max="4" width="15.5" style="106" hidden="1" customWidth="1"/>
    <col min="5" max="5" width="14.33203125" style="79" customWidth="1"/>
    <col min="6" max="6" width="12.08203125" style="81" customWidth="1"/>
    <col min="7" max="7" width="29.83203125" style="8" customWidth="1"/>
    <col min="8" max="8" width="16.58203125" style="8" customWidth="1"/>
    <col min="9" max="9" width="93.08203125" style="86" customWidth="1"/>
    <col min="10" max="10" width="20.58203125" style="19" customWidth="1"/>
    <col min="11" max="11" width="22.5" style="7" customWidth="1"/>
    <col min="12" max="12" width="9" style="76"/>
    <col min="13" max="13" width="26.33203125" style="2" customWidth="1"/>
    <col min="14" max="14" width="16.08203125" style="11" customWidth="1"/>
    <col min="15" max="15" width="25" style="103" customWidth="1"/>
    <col min="16" max="16" width="17.83203125" style="93" customWidth="1"/>
    <col min="17" max="17" width="17.58203125" style="97" customWidth="1"/>
    <col min="18" max="18" width="17.83203125" style="94" customWidth="1"/>
    <col min="19" max="19" width="12.58203125" style="7" customWidth="1"/>
    <col min="20" max="20" width="13.08203125" style="7" customWidth="1"/>
    <col min="21" max="21" width="12.58203125" style="7" customWidth="1"/>
    <col min="22" max="22" width="15.33203125" style="7" customWidth="1"/>
    <col min="23" max="24" width="9" style="2"/>
    <col min="25" max="25" width="15.58203125" style="8" customWidth="1"/>
    <col min="26" max="26" width="22.5" style="8" customWidth="1"/>
    <col min="27" max="27" width="16.83203125" style="2" customWidth="1"/>
    <col min="28" max="28" width="12.08203125" style="2" customWidth="1"/>
    <col min="29" max="29" width="10.08203125" style="2" customWidth="1"/>
    <col min="30" max="30" width="12" style="2" customWidth="1"/>
    <col min="31" max="31" width="18.58203125" style="2" customWidth="1"/>
    <col min="32" max="33" width="18.58203125" style="18" customWidth="1"/>
    <col min="34" max="34" width="14.5" style="18" customWidth="1"/>
    <col min="35" max="36" width="14" style="18" customWidth="1"/>
    <col min="37" max="37" width="107.5" style="2" customWidth="1"/>
    <col min="38" max="38" width="12.33203125" style="2" customWidth="1"/>
    <col min="39" max="39" width="13" style="2" customWidth="1"/>
    <col min="40" max="16384" width="9" style="2"/>
  </cols>
  <sheetData>
    <row r="1" spans="1:39" s="1" customFormat="1" ht="24" customHeight="1">
      <c r="A1" s="129" t="s">
        <v>0</v>
      </c>
      <c r="B1" s="13"/>
      <c r="C1" s="13"/>
      <c r="D1" s="131" t="s">
        <v>1</v>
      </c>
      <c r="E1" s="131"/>
      <c r="F1" s="131"/>
      <c r="G1" s="131"/>
      <c r="H1" s="131"/>
      <c r="I1" s="132"/>
      <c r="J1" s="82" t="s">
        <v>2</v>
      </c>
      <c r="K1" s="98"/>
      <c r="L1" s="98"/>
      <c r="M1" s="98"/>
      <c r="N1" s="98"/>
      <c r="O1" s="101"/>
      <c r="P1" s="87" t="s">
        <v>3</v>
      </c>
      <c r="Q1" s="95"/>
      <c r="R1" s="87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5"/>
      <c r="AL1" s="129" t="s">
        <v>4</v>
      </c>
      <c r="AM1" s="130"/>
    </row>
    <row r="2" spans="1:39" s="1" customFormat="1" ht="34">
      <c r="A2" s="129"/>
      <c r="B2" s="14" t="s">
        <v>5</v>
      </c>
      <c r="C2" s="14" t="s">
        <v>6</v>
      </c>
      <c r="D2" s="105" t="s">
        <v>7</v>
      </c>
      <c r="E2" s="77" t="s">
        <v>8</v>
      </c>
      <c r="F2" s="80" t="s">
        <v>9</v>
      </c>
      <c r="G2" s="1" t="s">
        <v>10</v>
      </c>
      <c r="H2" s="3" t="s">
        <v>11</v>
      </c>
      <c r="I2" s="100" t="s">
        <v>12</v>
      </c>
      <c r="J2" s="83" t="s">
        <v>13</v>
      </c>
      <c r="K2" s="5" t="s">
        <v>14</v>
      </c>
      <c r="L2" s="75" t="s">
        <v>15</v>
      </c>
      <c r="M2" s="1" t="s">
        <v>16</v>
      </c>
      <c r="N2" s="10" t="s">
        <v>17</v>
      </c>
      <c r="O2" s="104" t="s">
        <v>12</v>
      </c>
      <c r="P2" s="88" t="s">
        <v>18</v>
      </c>
      <c r="Q2" s="96" t="s">
        <v>19</v>
      </c>
      <c r="R2" s="89" t="s">
        <v>20</v>
      </c>
      <c r="S2" s="5" t="s">
        <v>21</v>
      </c>
      <c r="T2" s="6" t="s">
        <v>22</v>
      </c>
      <c r="U2" s="6" t="s">
        <v>23</v>
      </c>
      <c r="V2" s="6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7" t="s">
        <v>34</v>
      </c>
      <c r="AG2" s="16" t="s">
        <v>35</v>
      </c>
      <c r="AH2" s="16" t="s">
        <v>36</v>
      </c>
      <c r="AI2" s="17" t="s">
        <v>37</v>
      </c>
      <c r="AJ2" s="17" t="s">
        <v>38</v>
      </c>
      <c r="AK2" s="1" t="s">
        <v>39</v>
      </c>
      <c r="AL2" s="1" t="s">
        <v>40</v>
      </c>
      <c r="AM2" s="1" t="s">
        <v>41</v>
      </c>
    </row>
    <row r="3" spans="1:39" s="1" customFormat="1" ht="17">
      <c r="A3" s="1" t="s">
        <v>42</v>
      </c>
      <c r="B3" s="12" t="s">
        <v>140</v>
      </c>
      <c r="C3" s="15" t="s">
        <v>43</v>
      </c>
      <c r="D3" s="105" t="s">
        <v>44</v>
      </c>
      <c r="E3" s="78" t="s">
        <v>45</v>
      </c>
      <c r="F3" s="80">
        <v>46161</v>
      </c>
      <c r="G3" s="1" t="s">
        <v>46</v>
      </c>
      <c r="H3" s="1" t="s">
        <v>47</v>
      </c>
      <c r="I3" s="99" t="s">
        <v>48</v>
      </c>
      <c r="J3" s="9">
        <v>46161</v>
      </c>
      <c r="K3" s="4" t="s">
        <v>49</v>
      </c>
      <c r="L3" s="75" t="s">
        <v>50</v>
      </c>
      <c r="M3" s="1" t="s">
        <v>50</v>
      </c>
      <c r="N3" s="10" t="s">
        <v>51</v>
      </c>
      <c r="O3" s="102" t="s">
        <v>48</v>
      </c>
      <c r="P3" s="90">
        <v>46162</v>
      </c>
      <c r="Q3" s="91">
        <v>46166</v>
      </c>
      <c r="R3" s="92">
        <v>46143</v>
      </c>
      <c r="S3" s="4" t="s">
        <v>52</v>
      </c>
      <c r="T3" s="5" t="s">
        <v>53</v>
      </c>
      <c r="U3" s="5" t="s">
        <v>49</v>
      </c>
      <c r="V3" s="5" t="s">
        <v>49</v>
      </c>
      <c r="W3" s="1" t="s">
        <v>54</v>
      </c>
      <c r="X3" s="1">
        <v>1997</v>
      </c>
      <c r="Y3" s="1" t="s">
        <v>55</v>
      </c>
      <c r="Z3" s="1" t="s">
        <v>56</v>
      </c>
      <c r="AA3" s="1" t="s">
        <v>57</v>
      </c>
      <c r="AB3" s="1">
        <v>1</v>
      </c>
      <c r="AC3" s="1" t="s">
        <v>58</v>
      </c>
      <c r="AD3" s="1" t="s">
        <v>59</v>
      </c>
      <c r="AE3" s="1" t="s">
        <v>60</v>
      </c>
      <c r="AF3" s="17">
        <v>50000000</v>
      </c>
      <c r="AG3" s="17">
        <f t="shared" ref="AG3:AG34" si="0">AB3*AF3</f>
        <v>50000000</v>
      </c>
      <c r="AH3" s="17">
        <v>1000</v>
      </c>
      <c r="AI3" s="17">
        <v>520000</v>
      </c>
      <c r="AJ3" s="17">
        <v>60</v>
      </c>
    </row>
    <row r="4" spans="1:39" ht="17">
      <c r="A4" s="2">
        <v>1</v>
      </c>
      <c r="B4" s="12" t="s">
        <v>61</v>
      </c>
      <c r="C4" s="12" t="s">
        <v>43</v>
      </c>
      <c r="D4" s="106" t="s">
        <v>44</v>
      </c>
      <c r="E4" s="79" t="s">
        <v>62</v>
      </c>
      <c r="F4" s="81">
        <v>46129</v>
      </c>
      <c r="G4" s="8" t="s">
        <v>63</v>
      </c>
      <c r="H4" s="8" t="s">
        <v>64</v>
      </c>
      <c r="I4" s="86" t="s">
        <v>65</v>
      </c>
      <c r="J4" s="19">
        <v>46129</v>
      </c>
      <c r="K4" s="7" t="s">
        <v>50</v>
      </c>
      <c r="L4" s="76" t="s">
        <v>66</v>
      </c>
      <c r="M4" s="2" t="s">
        <v>67</v>
      </c>
      <c r="P4" s="93">
        <v>46129</v>
      </c>
      <c r="S4" s="7" t="s">
        <v>52</v>
      </c>
      <c r="W4" s="2" t="s">
        <v>50</v>
      </c>
      <c r="X4" s="2">
        <v>1962</v>
      </c>
      <c r="Y4" s="8" t="s">
        <v>68</v>
      </c>
      <c r="Z4" s="8" t="s">
        <v>69</v>
      </c>
      <c r="AA4" s="2" t="s">
        <v>70</v>
      </c>
      <c r="AB4" s="2">
        <v>1</v>
      </c>
      <c r="AD4" s="2" t="s">
        <v>59</v>
      </c>
      <c r="AE4" s="2" t="s">
        <v>71</v>
      </c>
      <c r="AF4" s="18">
        <v>500000</v>
      </c>
      <c r="AG4" s="17">
        <f t="shared" si="0"/>
        <v>500000</v>
      </c>
      <c r="AH4" s="18">
        <v>0</v>
      </c>
      <c r="AI4" s="18">
        <v>500000</v>
      </c>
      <c r="AJ4" s="18" t="s">
        <v>72</v>
      </c>
      <c r="AK4" s="114" t="s">
        <v>73</v>
      </c>
    </row>
    <row r="5" spans="1:39" ht="17">
      <c r="A5" s="2">
        <v>2</v>
      </c>
      <c r="B5" s="12" t="s">
        <v>74</v>
      </c>
      <c r="C5" s="12" t="s">
        <v>75</v>
      </c>
      <c r="D5" s="105" t="s">
        <v>44</v>
      </c>
      <c r="E5" s="79" t="s">
        <v>45</v>
      </c>
      <c r="F5" s="81">
        <v>46161</v>
      </c>
      <c r="G5" s="8" t="s">
        <v>76</v>
      </c>
      <c r="H5" s="8" t="s">
        <v>77</v>
      </c>
      <c r="I5" s="86" t="s">
        <v>65</v>
      </c>
      <c r="J5" s="19">
        <v>46161</v>
      </c>
      <c r="K5" s="7" t="s">
        <v>49</v>
      </c>
      <c r="L5" s="76" t="s">
        <v>66</v>
      </c>
      <c r="M5" s="2" t="s">
        <v>78</v>
      </c>
      <c r="N5" s="11" t="s">
        <v>79</v>
      </c>
      <c r="P5" s="93">
        <v>46184</v>
      </c>
      <c r="Q5" s="97">
        <v>46184</v>
      </c>
      <c r="R5" s="94">
        <v>46184</v>
      </c>
      <c r="S5" s="7" t="s">
        <v>52</v>
      </c>
      <c r="T5" s="7" t="s">
        <v>53</v>
      </c>
      <c r="U5" s="7" t="s">
        <v>50</v>
      </c>
      <c r="W5" s="2" t="s">
        <v>50</v>
      </c>
      <c r="X5" s="2">
        <v>1983</v>
      </c>
      <c r="Y5" s="8" t="s">
        <v>80</v>
      </c>
      <c r="Z5" s="8" t="s">
        <v>81</v>
      </c>
      <c r="AA5" s="2" t="s">
        <v>57</v>
      </c>
      <c r="AB5" s="2">
        <v>1</v>
      </c>
      <c r="AC5" s="2" t="s">
        <v>58</v>
      </c>
      <c r="AD5" s="2" t="s">
        <v>59</v>
      </c>
      <c r="AE5" s="2" t="s">
        <v>71</v>
      </c>
      <c r="AF5" s="18">
        <v>0</v>
      </c>
      <c r="AG5" s="17">
        <f t="shared" si="0"/>
        <v>0</v>
      </c>
      <c r="AK5" s="115" t="s">
        <v>82</v>
      </c>
    </row>
    <row r="6" spans="1:39" ht="17">
      <c r="A6" s="2">
        <v>3</v>
      </c>
      <c r="B6" s="12" t="s">
        <v>83</v>
      </c>
      <c r="C6" s="12" t="s">
        <v>43</v>
      </c>
      <c r="D6" s="106" t="s">
        <v>44</v>
      </c>
      <c r="E6" s="79" t="s">
        <v>45</v>
      </c>
      <c r="F6" s="81">
        <v>46166</v>
      </c>
      <c r="G6" s="8" t="s">
        <v>84</v>
      </c>
      <c r="H6" s="8" t="s">
        <v>85</v>
      </c>
      <c r="I6" s="86" t="s">
        <v>86</v>
      </c>
      <c r="J6" s="19">
        <v>46166</v>
      </c>
      <c r="K6" s="7" t="s">
        <v>50</v>
      </c>
      <c r="L6" s="76" t="s">
        <v>87</v>
      </c>
      <c r="P6" s="93">
        <v>46185</v>
      </c>
      <c r="S6" s="7" t="s">
        <v>52</v>
      </c>
      <c r="T6" s="7" t="s">
        <v>53</v>
      </c>
      <c r="W6" s="2" t="s">
        <v>50</v>
      </c>
      <c r="Y6" s="8" t="s">
        <v>55</v>
      </c>
      <c r="Z6" s="8" t="s">
        <v>88</v>
      </c>
      <c r="AG6" s="17">
        <f t="shared" si="0"/>
        <v>0</v>
      </c>
      <c r="AK6" s="114" t="s">
        <v>89</v>
      </c>
    </row>
    <row r="7" spans="1:39" ht="17">
      <c r="A7" s="2">
        <v>4</v>
      </c>
      <c r="B7" s="12" t="s">
        <v>61</v>
      </c>
      <c r="C7" s="12" t="s">
        <v>43</v>
      </c>
      <c r="D7" s="106" t="s">
        <v>44</v>
      </c>
      <c r="E7" s="79" t="s">
        <v>45</v>
      </c>
      <c r="F7" s="81">
        <v>46164</v>
      </c>
      <c r="G7" s="8" t="s">
        <v>90</v>
      </c>
      <c r="H7" s="8" t="s">
        <v>91</v>
      </c>
      <c r="I7" s="86" t="s">
        <v>65</v>
      </c>
      <c r="J7" s="19">
        <v>46164</v>
      </c>
      <c r="K7" s="7" t="s">
        <v>50</v>
      </c>
      <c r="L7" s="76" t="s">
        <v>49</v>
      </c>
      <c r="M7" s="2" t="s">
        <v>92</v>
      </c>
      <c r="P7" s="93">
        <v>46185</v>
      </c>
      <c r="S7" s="7" t="s">
        <v>52</v>
      </c>
      <c r="U7" s="7" t="s">
        <v>50</v>
      </c>
      <c r="W7" s="2" t="s">
        <v>93</v>
      </c>
      <c r="X7" s="2">
        <v>1977</v>
      </c>
      <c r="Y7" s="8" t="s">
        <v>94</v>
      </c>
      <c r="Z7" s="8" t="s">
        <v>95</v>
      </c>
      <c r="AA7" s="2" t="s">
        <v>57</v>
      </c>
      <c r="AB7" s="2">
        <v>1</v>
      </c>
      <c r="AC7" s="2" t="s">
        <v>58</v>
      </c>
      <c r="AD7" s="2" t="s">
        <v>59</v>
      </c>
      <c r="AE7" s="2" t="s">
        <v>71</v>
      </c>
      <c r="AF7" s="18">
        <v>0</v>
      </c>
      <c r="AG7" s="17">
        <f t="shared" si="0"/>
        <v>0</v>
      </c>
      <c r="AK7" s="114" t="s">
        <v>96</v>
      </c>
    </row>
    <row r="8" spans="1:39" ht="17">
      <c r="A8" s="2">
        <v>5</v>
      </c>
      <c r="B8" s="12" t="s">
        <v>83</v>
      </c>
      <c r="C8" s="12" t="s">
        <v>43</v>
      </c>
      <c r="D8" s="106" t="s">
        <v>44</v>
      </c>
      <c r="E8" s="79" t="s">
        <v>97</v>
      </c>
      <c r="F8" s="81">
        <v>46168</v>
      </c>
      <c r="G8" s="8" t="s">
        <v>98</v>
      </c>
      <c r="H8" s="8" t="s">
        <v>99</v>
      </c>
      <c r="I8" s="117" t="s">
        <v>100</v>
      </c>
      <c r="AG8" s="17">
        <f t="shared" si="0"/>
        <v>0</v>
      </c>
    </row>
    <row r="9" spans="1:39" ht="17">
      <c r="A9" s="2">
        <v>6</v>
      </c>
      <c r="B9" s="12" t="s">
        <v>83</v>
      </c>
      <c r="C9" s="12" t="s">
        <v>43</v>
      </c>
      <c r="D9" s="106" t="s">
        <v>44</v>
      </c>
      <c r="E9" s="79" t="s">
        <v>97</v>
      </c>
      <c r="F9" s="81">
        <v>46168</v>
      </c>
      <c r="G9" s="8" t="s">
        <v>101</v>
      </c>
      <c r="H9" s="8" t="s">
        <v>102</v>
      </c>
      <c r="I9" s="118" t="s">
        <v>103</v>
      </c>
      <c r="AG9" s="17">
        <f t="shared" si="0"/>
        <v>0</v>
      </c>
    </row>
    <row r="10" spans="1:39" ht="17">
      <c r="A10" s="2">
        <v>7</v>
      </c>
      <c r="B10" s="12" t="s">
        <v>83</v>
      </c>
      <c r="C10" s="12" t="s">
        <v>43</v>
      </c>
      <c r="D10" s="106" t="s">
        <v>44</v>
      </c>
      <c r="E10" s="79" t="s">
        <v>97</v>
      </c>
      <c r="F10" s="81">
        <v>46168</v>
      </c>
      <c r="G10" s="8" t="s">
        <v>104</v>
      </c>
      <c r="H10" s="8" t="s">
        <v>105</v>
      </c>
      <c r="I10" s="118" t="s">
        <v>106</v>
      </c>
      <c r="AG10" s="17">
        <f t="shared" si="0"/>
        <v>0</v>
      </c>
    </row>
    <row r="11" spans="1:39" ht="17">
      <c r="A11" s="2">
        <v>8</v>
      </c>
      <c r="B11" s="12" t="s">
        <v>83</v>
      </c>
      <c r="C11" s="12" t="s">
        <v>43</v>
      </c>
      <c r="D11" s="106" t="s">
        <v>44</v>
      </c>
      <c r="E11" s="79" t="s">
        <v>97</v>
      </c>
      <c r="F11" s="81">
        <v>46168</v>
      </c>
      <c r="G11" s="8" t="s">
        <v>107</v>
      </c>
      <c r="H11" s="8" t="s">
        <v>108</v>
      </c>
      <c r="I11" s="119" t="s">
        <v>109</v>
      </c>
      <c r="AG11" s="17">
        <f t="shared" si="0"/>
        <v>0</v>
      </c>
    </row>
    <row r="12" spans="1:39" ht="17">
      <c r="A12" s="2">
        <v>9</v>
      </c>
      <c r="B12" s="12" t="s">
        <v>83</v>
      </c>
      <c r="C12" s="12" t="s">
        <v>43</v>
      </c>
      <c r="D12" s="106" t="s">
        <v>44</v>
      </c>
      <c r="E12" s="79" t="s">
        <v>97</v>
      </c>
      <c r="F12" s="81">
        <v>46168</v>
      </c>
      <c r="G12" s="8" t="s">
        <v>110</v>
      </c>
      <c r="H12" s="8" t="s">
        <v>111</v>
      </c>
      <c r="I12" s="117" t="s">
        <v>112</v>
      </c>
      <c r="AG12" s="17">
        <f t="shared" si="0"/>
        <v>0</v>
      </c>
    </row>
    <row r="13" spans="1:39" ht="17">
      <c r="A13" s="2">
        <v>10</v>
      </c>
      <c r="B13" s="12" t="s">
        <v>83</v>
      </c>
      <c r="C13" s="12" t="s">
        <v>43</v>
      </c>
      <c r="D13" s="106" t="s">
        <v>44</v>
      </c>
      <c r="E13" s="79" t="s">
        <v>97</v>
      </c>
      <c r="F13" s="81">
        <v>46168</v>
      </c>
      <c r="G13" s="8" t="s">
        <v>113</v>
      </c>
      <c r="H13" s="8" t="s">
        <v>114</v>
      </c>
      <c r="I13" s="86" t="s">
        <v>115</v>
      </c>
      <c r="AG13" s="17">
        <f t="shared" si="0"/>
        <v>0</v>
      </c>
    </row>
    <row r="14" spans="1:39" ht="17">
      <c r="A14" s="2">
        <v>11</v>
      </c>
      <c r="B14" s="12" t="s">
        <v>83</v>
      </c>
      <c r="C14" s="12" t="s">
        <v>43</v>
      </c>
      <c r="D14" s="106" t="s">
        <v>44</v>
      </c>
      <c r="E14" s="79" t="s">
        <v>97</v>
      </c>
      <c r="F14" s="81">
        <v>46168</v>
      </c>
      <c r="G14" s="8" t="s">
        <v>116</v>
      </c>
      <c r="H14" s="8" t="s">
        <v>117</v>
      </c>
      <c r="I14" s="86" t="s">
        <v>115</v>
      </c>
      <c r="AG14" s="17">
        <f t="shared" si="0"/>
        <v>0</v>
      </c>
    </row>
    <row r="15" spans="1:39" ht="17">
      <c r="A15" s="2">
        <v>12</v>
      </c>
      <c r="B15" s="12" t="s">
        <v>83</v>
      </c>
      <c r="C15" s="12" t="s">
        <v>43</v>
      </c>
      <c r="D15" s="106" t="s">
        <v>44</v>
      </c>
      <c r="E15" s="79" t="s">
        <v>97</v>
      </c>
      <c r="F15" s="81">
        <v>46168</v>
      </c>
      <c r="G15" s="8" t="s">
        <v>118</v>
      </c>
      <c r="H15" s="8" t="s">
        <v>119</v>
      </c>
      <c r="I15" s="86" t="s">
        <v>115</v>
      </c>
      <c r="AG15" s="17">
        <f t="shared" si="0"/>
        <v>0</v>
      </c>
      <c r="AK15" s="2" t="s">
        <v>120</v>
      </c>
    </row>
    <row r="16" spans="1:39" ht="17">
      <c r="A16" s="2">
        <v>13</v>
      </c>
      <c r="B16" s="12" t="s">
        <v>83</v>
      </c>
      <c r="C16" s="12" t="s">
        <v>43</v>
      </c>
      <c r="D16" s="106" t="s">
        <v>44</v>
      </c>
      <c r="E16" s="79" t="s">
        <v>97</v>
      </c>
      <c r="F16" s="81">
        <v>46168</v>
      </c>
      <c r="G16" s="8" t="s">
        <v>121</v>
      </c>
      <c r="H16" s="8" t="s">
        <v>122</v>
      </c>
      <c r="I16" s="117" t="s">
        <v>123</v>
      </c>
      <c r="AG16" s="17">
        <f t="shared" si="0"/>
        <v>0</v>
      </c>
      <c r="AK16" s="2" t="s">
        <v>124</v>
      </c>
    </row>
    <row r="17" spans="1:37" ht="17">
      <c r="A17" s="2">
        <v>14</v>
      </c>
      <c r="B17" s="12" t="s">
        <v>83</v>
      </c>
      <c r="C17" s="12" t="s">
        <v>43</v>
      </c>
      <c r="D17" s="106" t="s">
        <v>44</v>
      </c>
      <c r="E17" s="79" t="s">
        <v>97</v>
      </c>
      <c r="F17" s="81">
        <v>46168</v>
      </c>
      <c r="G17" s="8" t="s">
        <v>125</v>
      </c>
      <c r="H17" s="8" t="s">
        <v>126</v>
      </c>
      <c r="I17" s="86" t="s">
        <v>115</v>
      </c>
      <c r="AG17" s="17">
        <f t="shared" si="0"/>
        <v>0</v>
      </c>
    </row>
    <row r="18" spans="1:37" ht="17">
      <c r="A18" s="2">
        <v>15</v>
      </c>
      <c r="B18" s="12" t="s">
        <v>83</v>
      </c>
      <c r="C18" s="12" t="s">
        <v>43</v>
      </c>
      <c r="D18" s="106" t="s">
        <v>44</v>
      </c>
      <c r="E18" s="79" t="s">
        <v>97</v>
      </c>
      <c r="F18" s="81">
        <v>46168</v>
      </c>
      <c r="G18" s="8" t="s">
        <v>127</v>
      </c>
      <c r="H18" s="8" t="s">
        <v>128</v>
      </c>
      <c r="I18" s="86" t="s">
        <v>115</v>
      </c>
      <c r="AG18" s="17">
        <f t="shared" si="0"/>
        <v>0</v>
      </c>
    </row>
    <row r="19" spans="1:37" ht="17">
      <c r="A19" s="2">
        <v>16</v>
      </c>
      <c r="B19" s="12" t="s">
        <v>83</v>
      </c>
      <c r="C19" s="12" t="s">
        <v>43</v>
      </c>
      <c r="D19" s="106" t="s">
        <v>44</v>
      </c>
      <c r="E19" s="79" t="s">
        <v>97</v>
      </c>
      <c r="F19" s="81">
        <v>46168</v>
      </c>
      <c r="G19" s="8" t="s">
        <v>129</v>
      </c>
      <c r="H19" s="8" t="s">
        <v>130</v>
      </c>
      <c r="I19" s="86" t="s">
        <v>115</v>
      </c>
      <c r="AG19" s="17">
        <f t="shared" si="0"/>
        <v>0</v>
      </c>
    </row>
    <row r="20" spans="1:37" ht="17">
      <c r="A20" s="2">
        <v>304</v>
      </c>
      <c r="B20" s="12" t="s">
        <v>83</v>
      </c>
      <c r="C20" s="12" t="s">
        <v>43</v>
      </c>
      <c r="D20" s="106" t="s">
        <v>44</v>
      </c>
      <c r="E20" s="79" t="s">
        <v>97</v>
      </c>
      <c r="F20" s="81">
        <v>46178</v>
      </c>
      <c r="G20" s="8" t="s">
        <v>131</v>
      </c>
      <c r="H20" s="8" t="s">
        <v>132</v>
      </c>
      <c r="I20" s="86" t="s">
        <v>133</v>
      </c>
      <c r="AG20" s="17">
        <f t="shared" si="0"/>
        <v>0</v>
      </c>
    </row>
    <row r="21" spans="1:37" ht="17">
      <c r="A21" s="2">
        <v>305</v>
      </c>
      <c r="B21" s="12" t="s">
        <v>61</v>
      </c>
      <c r="C21" s="12" t="s">
        <v>43</v>
      </c>
      <c r="D21" s="106" t="s">
        <v>44</v>
      </c>
      <c r="E21" s="79" t="s">
        <v>97</v>
      </c>
      <c r="F21" s="81">
        <v>46178</v>
      </c>
      <c r="G21" s="8" t="s">
        <v>134</v>
      </c>
      <c r="H21" s="8" t="s">
        <v>135</v>
      </c>
      <c r="I21" s="120" t="s">
        <v>136</v>
      </c>
      <c r="J21" s="19">
        <v>46178</v>
      </c>
      <c r="L21" s="76" t="s">
        <v>50</v>
      </c>
      <c r="AG21" s="17">
        <f t="shared" si="0"/>
        <v>0</v>
      </c>
      <c r="AK21" s="116" t="s">
        <v>137</v>
      </c>
    </row>
    <row r="22" spans="1:37" ht="17">
      <c r="A22" s="2">
        <v>306</v>
      </c>
      <c r="B22" s="12" t="s">
        <v>83</v>
      </c>
      <c r="C22" s="12" t="s">
        <v>43</v>
      </c>
      <c r="D22" s="106" t="s">
        <v>44</v>
      </c>
      <c r="E22" s="79" t="s">
        <v>97</v>
      </c>
      <c r="F22" s="81">
        <v>46178</v>
      </c>
      <c r="G22" s="8" t="s">
        <v>138</v>
      </c>
      <c r="H22" s="8" t="s">
        <v>139</v>
      </c>
      <c r="I22" s="86" t="s">
        <v>115</v>
      </c>
      <c r="AG22" s="17">
        <f t="shared" si="0"/>
        <v>0</v>
      </c>
    </row>
    <row r="23" spans="1:37" ht="17">
      <c r="A23" s="2">
        <v>307</v>
      </c>
      <c r="B23" s="12" t="s">
        <v>140</v>
      </c>
      <c r="C23" s="12" t="s">
        <v>75</v>
      </c>
      <c r="D23" s="106" t="s">
        <v>44</v>
      </c>
      <c r="E23" s="79" t="s">
        <v>97</v>
      </c>
      <c r="F23" s="81">
        <v>46178</v>
      </c>
      <c r="G23" s="8" t="s">
        <v>141</v>
      </c>
      <c r="H23" s="8" t="s">
        <v>142</v>
      </c>
      <c r="I23" s="86" t="s">
        <v>143</v>
      </c>
      <c r="AG23" s="17">
        <f t="shared" si="0"/>
        <v>0</v>
      </c>
    </row>
    <row r="24" spans="1:37" ht="17">
      <c r="A24" s="2">
        <v>308</v>
      </c>
      <c r="B24" s="12" t="s">
        <v>140</v>
      </c>
      <c r="C24" s="12" t="s">
        <v>75</v>
      </c>
      <c r="D24" s="106" t="s">
        <v>44</v>
      </c>
      <c r="E24" s="79" t="s">
        <v>97</v>
      </c>
      <c r="F24" s="81">
        <v>46178</v>
      </c>
      <c r="G24" s="8" t="s">
        <v>144</v>
      </c>
      <c r="H24" s="8" t="s">
        <v>145</v>
      </c>
      <c r="I24" s="86" t="s">
        <v>146</v>
      </c>
      <c r="AG24" s="17">
        <f t="shared" si="0"/>
        <v>0</v>
      </c>
    </row>
    <row r="25" spans="1:37" ht="17">
      <c r="A25" s="2">
        <v>309</v>
      </c>
      <c r="B25" s="12" t="s">
        <v>140</v>
      </c>
      <c r="C25" s="12" t="s">
        <v>75</v>
      </c>
      <c r="D25" s="106" t="s">
        <v>44</v>
      </c>
      <c r="E25" s="79" t="s">
        <v>97</v>
      </c>
      <c r="F25" s="81">
        <v>46178</v>
      </c>
      <c r="G25" s="8" t="s">
        <v>147</v>
      </c>
      <c r="H25" s="8" t="s">
        <v>148</v>
      </c>
      <c r="I25" s="86" t="s">
        <v>146</v>
      </c>
      <c r="AG25" s="17">
        <f t="shared" si="0"/>
        <v>0</v>
      </c>
    </row>
    <row r="26" spans="1:37" ht="17">
      <c r="A26" s="2">
        <v>310</v>
      </c>
      <c r="B26" s="12" t="s">
        <v>140</v>
      </c>
      <c r="C26" s="12" t="s">
        <v>75</v>
      </c>
      <c r="D26" s="106" t="s">
        <v>44</v>
      </c>
      <c r="E26" s="79" t="s">
        <v>97</v>
      </c>
      <c r="F26" s="81">
        <v>46178</v>
      </c>
      <c r="G26" s="8" t="s">
        <v>149</v>
      </c>
      <c r="H26" s="8" t="s">
        <v>150</v>
      </c>
      <c r="I26" s="86" t="s">
        <v>146</v>
      </c>
      <c r="AG26" s="17">
        <f t="shared" si="0"/>
        <v>0</v>
      </c>
    </row>
    <row r="27" spans="1:37" ht="17">
      <c r="A27" s="2">
        <v>311</v>
      </c>
      <c r="B27" s="12" t="s">
        <v>140</v>
      </c>
      <c r="C27" s="12" t="s">
        <v>75</v>
      </c>
      <c r="D27" s="106" t="s">
        <v>44</v>
      </c>
      <c r="E27" s="79" t="s">
        <v>97</v>
      </c>
      <c r="F27" s="81">
        <v>46178</v>
      </c>
      <c r="G27" s="8" t="s">
        <v>151</v>
      </c>
      <c r="H27" s="8" t="s">
        <v>152</v>
      </c>
      <c r="I27" s="86" t="s">
        <v>146</v>
      </c>
      <c r="AG27" s="17">
        <f t="shared" si="0"/>
        <v>0</v>
      </c>
    </row>
    <row r="28" spans="1:37" ht="17">
      <c r="A28" s="2">
        <v>312</v>
      </c>
      <c r="B28" s="12" t="s">
        <v>140</v>
      </c>
      <c r="C28" s="12" t="s">
        <v>75</v>
      </c>
      <c r="D28" s="106" t="s">
        <v>44</v>
      </c>
      <c r="E28" s="79" t="s">
        <v>97</v>
      </c>
      <c r="F28" s="81">
        <v>46178</v>
      </c>
      <c r="G28" s="8" t="s">
        <v>153</v>
      </c>
      <c r="H28" s="8" t="s">
        <v>154</v>
      </c>
      <c r="I28" s="86" t="s">
        <v>146</v>
      </c>
      <c r="AG28" s="17">
        <f t="shared" si="0"/>
        <v>0</v>
      </c>
    </row>
    <row r="29" spans="1:37" ht="17">
      <c r="A29" s="2">
        <v>313</v>
      </c>
      <c r="B29" s="12" t="s">
        <v>140</v>
      </c>
      <c r="C29" s="12" t="s">
        <v>75</v>
      </c>
      <c r="D29" s="106" t="s">
        <v>44</v>
      </c>
      <c r="E29" s="79" t="s">
        <v>97</v>
      </c>
      <c r="F29" s="81">
        <v>46178</v>
      </c>
      <c r="G29" s="8" t="s">
        <v>155</v>
      </c>
      <c r="H29" s="8" t="s">
        <v>156</v>
      </c>
      <c r="I29" s="86" t="s">
        <v>146</v>
      </c>
      <c r="AG29" s="17">
        <f t="shared" si="0"/>
        <v>0</v>
      </c>
    </row>
    <row r="30" spans="1:37" ht="17">
      <c r="A30" s="2">
        <v>314</v>
      </c>
      <c r="B30" s="12" t="s">
        <v>140</v>
      </c>
      <c r="C30" s="12" t="s">
        <v>75</v>
      </c>
      <c r="D30" s="106" t="s">
        <v>44</v>
      </c>
      <c r="E30" s="79" t="s">
        <v>97</v>
      </c>
      <c r="F30" s="81">
        <v>46193</v>
      </c>
      <c r="G30" s="8" t="s">
        <v>157</v>
      </c>
      <c r="H30" s="8" t="s">
        <v>158</v>
      </c>
      <c r="I30" s="86" t="s">
        <v>146</v>
      </c>
      <c r="AG30" s="17">
        <f t="shared" si="0"/>
        <v>0</v>
      </c>
    </row>
    <row r="31" spans="1:37" ht="17">
      <c r="A31" s="2">
        <v>315</v>
      </c>
      <c r="B31" s="12" t="s">
        <v>140</v>
      </c>
      <c r="C31" s="12" t="s">
        <v>75</v>
      </c>
      <c r="D31" s="106" t="s">
        <v>44</v>
      </c>
      <c r="E31" s="79" t="s">
        <v>97</v>
      </c>
      <c r="F31" s="81">
        <v>46193</v>
      </c>
      <c r="G31" s="8" t="s">
        <v>159</v>
      </c>
      <c r="H31" s="8" t="s">
        <v>160</v>
      </c>
      <c r="I31" s="86" t="s">
        <v>146</v>
      </c>
      <c r="AG31" s="17">
        <f t="shared" si="0"/>
        <v>0</v>
      </c>
    </row>
    <row r="32" spans="1:37" ht="17">
      <c r="A32" s="2">
        <v>316</v>
      </c>
      <c r="B32" s="12" t="s">
        <v>140</v>
      </c>
      <c r="C32" s="12" t="s">
        <v>75</v>
      </c>
      <c r="D32" s="106" t="s">
        <v>44</v>
      </c>
      <c r="E32" s="79" t="s">
        <v>97</v>
      </c>
      <c r="F32" s="81">
        <v>46193</v>
      </c>
      <c r="G32" s="121" t="s">
        <v>161</v>
      </c>
      <c r="H32" s="8" t="s">
        <v>162</v>
      </c>
      <c r="I32" s="86" t="s">
        <v>146</v>
      </c>
      <c r="AG32" s="17">
        <f t="shared" si="0"/>
        <v>0</v>
      </c>
    </row>
    <row r="33" spans="1:33" ht="17">
      <c r="A33" s="2">
        <v>317</v>
      </c>
      <c r="B33" s="12" t="s">
        <v>140</v>
      </c>
      <c r="C33" s="12" t="s">
        <v>75</v>
      </c>
      <c r="D33" s="106" t="s">
        <v>44</v>
      </c>
      <c r="E33" s="79" t="s">
        <v>97</v>
      </c>
      <c r="F33" s="81">
        <v>46193</v>
      </c>
      <c r="G33" s="8" t="s">
        <v>163</v>
      </c>
      <c r="H33" s="8" t="s">
        <v>164</v>
      </c>
      <c r="I33" s="86" t="s">
        <v>146</v>
      </c>
      <c r="AG33" s="17">
        <f t="shared" si="0"/>
        <v>0</v>
      </c>
    </row>
    <row r="34" spans="1:33" ht="17">
      <c r="A34" s="2">
        <v>318</v>
      </c>
      <c r="B34" s="12" t="s">
        <v>140</v>
      </c>
      <c r="C34" s="12" t="s">
        <v>75</v>
      </c>
      <c r="D34" s="106" t="s">
        <v>44</v>
      </c>
      <c r="E34" s="79" t="s">
        <v>97</v>
      </c>
      <c r="F34" s="81">
        <v>46193</v>
      </c>
      <c r="G34" s="8" t="s">
        <v>165</v>
      </c>
      <c r="H34" s="8" t="s">
        <v>166</v>
      </c>
      <c r="I34" s="86" t="s">
        <v>146</v>
      </c>
      <c r="AG34" s="17">
        <f t="shared" si="0"/>
        <v>0</v>
      </c>
    </row>
    <row r="35" spans="1:33" ht="17">
      <c r="A35" s="2">
        <v>319</v>
      </c>
      <c r="B35" s="12" t="s">
        <v>140</v>
      </c>
      <c r="C35" s="12" t="s">
        <v>75</v>
      </c>
      <c r="D35" s="106" t="s">
        <v>44</v>
      </c>
      <c r="E35" s="79" t="s">
        <v>97</v>
      </c>
      <c r="F35" s="81">
        <v>46193</v>
      </c>
      <c r="G35" s="8" t="s">
        <v>167</v>
      </c>
      <c r="H35" s="8" t="s">
        <v>168</v>
      </c>
      <c r="I35" s="86" t="s">
        <v>146</v>
      </c>
      <c r="AG35" s="17">
        <f t="shared" ref="AG35:AG66" si="1">AB35*AF35</f>
        <v>0</v>
      </c>
    </row>
    <row r="36" spans="1:33" ht="17">
      <c r="A36" s="2">
        <v>320</v>
      </c>
      <c r="B36" s="12" t="s">
        <v>140</v>
      </c>
      <c r="C36" s="12" t="s">
        <v>75</v>
      </c>
      <c r="D36" s="106" t="s">
        <v>44</v>
      </c>
      <c r="E36" s="79" t="s">
        <v>97</v>
      </c>
      <c r="F36" s="81">
        <v>46193</v>
      </c>
      <c r="G36" s="8" t="s">
        <v>169</v>
      </c>
      <c r="H36" s="8" t="s">
        <v>170</v>
      </c>
      <c r="I36" s="86" t="s">
        <v>146</v>
      </c>
      <c r="AG36" s="17">
        <f t="shared" si="1"/>
        <v>0</v>
      </c>
    </row>
    <row r="37" spans="1:33" ht="17">
      <c r="A37" s="2">
        <v>321</v>
      </c>
      <c r="B37" s="12" t="s">
        <v>83</v>
      </c>
      <c r="C37" s="12" t="s">
        <v>75</v>
      </c>
      <c r="D37" s="106" t="s">
        <v>44</v>
      </c>
      <c r="E37" s="79" t="s">
        <v>97</v>
      </c>
      <c r="F37" s="81">
        <v>46193</v>
      </c>
      <c r="G37" s="121" t="s">
        <v>171</v>
      </c>
      <c r="H37" s="8" t="s">
        <v>172</v>
      </c>
      <c r="I37" s="120" t="s">
        <v>173</v>
      </c>
      <c r="J37" s="19">
        <v>46198</v>
      </c>
      <c r="AG37" s="17">
        <f t="shared" si="1"/>
        <v>0</v>
      </c>
    </row>
    <row r="38" spans="1:33" ht="17">
      <c r="A38" s="2">
        <v>322</v>
      </c>
      <c r="B38" s="12" t="s">
        <v>140</v>
      </c>
      <c r="C38" s="12" t="s">
        <v>75</v>
      </c>
      <c r="D38" s="106" t="s">
        <v>44</v>
      </c>
      <c r="E38" s="79" t="s">
        <v>97</v>
      </c>
      <c r="F38" s="81">
        <v>46193</v>
      </c>
      <c r="G38" s="8" t="s">
        <v>174</v>
      </c>
      <c r="H38" s="8" t="s">
        <v>175</v>
      </c>
      <c r="I38" s="86" t="s">
        <v>146</v>
      </c>
      <c r="AG38" s="17">
        <f t="shared" si="1"/>
        <v>0</v>
      </c>
    </row>
    <row r="39" spans="1:33" ht="17">
      <c r="A39" s="2">
        <v>323</v>
      </c>
      <c r="B39" s="12" t="s">
        <v>83</v>
      </c>
      <c r="C39" s="12" t="s">
        <v>75</v>
      </c>
      <c r="D39" s="106" t="s">
        <v>44</v>
      </c>
      <c r="E39" s="79" t="s">
        <v>97</v>
      </c>
      <c r="F39" s="81">
        <v>46193</v>
      </c>
      <c r="G39" s="121" t="s">
        <v>176</v>
      </c>
      <c r="H39" s="8" t="s">
        <v>177</v>
      </c>
      <c r="I39" s="86" t="s">
        <v>178</v>
      </c>
      <c r="J39" s="19">
        <v>46198</v>
      </c>
      <c r="AG39" s="17">
        <f t="shared" si="1"/>
        <v>0</v>
      </c>
    </row>
    <row r="40" spans="1:33" ht="17">
      <c r="A40" s="2">
        <v>324</v>
      </c>
      <c r="B40" s="12" t="s">
        <v>140</v>
      </c>
      <c r="C40" s="12" t="s">
        <v>75</v>
      </c>
      <c r="D40" s="106" t="s">
        <v>44</v>
      </c>
      <c r="E40" s="79" t="s">
        <v>97</v>
      </c>
      <c r="F40" s="81">
        <v>46193</v>
      </c>
      <c r="G40" s="8" t="s">
        <v>179</v>
      </c>
      <c r="H40" s="8" t="s">
        <v>180</v>
      </c>
      <c r="I40" s="86" t="s">
        <v>146</v>
      </c>
      <c r="AG40" s="17">
        <f t="shared" si="1"/>
        <v>0</v>
      </c>
    </row>
    <row r="41" spans="1:33" ht="17">
      <c r="A41" s="2">
        <v>325</v>
      </c>
      <c r="B41" s="12" t="s">
        <v>140</v>
      </c>
      <c r="C41" s="12" t="s">
        <v>75</v>
      </c>
      <c r="D41" s="106" t="s">
        <v>44</v>
      </c>
      <c r="E41" s="79" t="s">
        <v>97</v>
      </c>
      <c r="F41" s="81">
        <v>46193</v>
      </c>
      <c r="G41" s="8" t="s">
        <v>181</v>
      </c>
      <c r="H41" s="8" t="s">
        <v>182</v>
      </c>
      <c r="I41" s="86" t="s">
        <v>146</v>
      </c>
      <c r="AG41" s="17">
        <f t="shared" si="1"/>
        <v>0</v>
      </c>
    </row>
    <row r="42" spans="1:33" ht="17">
      <c r="A42" s="2">
        <v>326</v>
      </c>
      <c r="AG42" s="17">
        <f t="shared" si="1"/>
        <v>0</v>
      </c>
    </row>
    <row r="43" spans="1:33" ht="17">
      <c r="A43" s="2">
        <v>327</v>
      </c>
      <c r="AG43" s="17">
        <f t="shared" si="1"/>
        <v>0</v>
      </c>
    </row>
    <row r="44" spans="1:33" ht="17">
      <c r="A44" s="2">
        <v>328</v>
      </c>
      <c r="AG44" s="17">
        <f t="shared" si="1"/>
        <v>0</v>
      </c>
    </row>
    <row r="45" spans="1:33" ht="17">
      <c r="A45" s="2">
        <v>329</v>
      </c>
      <c r="AG45" s="17">
        <f t="shared" si="1"/>
        <v>0</v>
      </c>
    </row>
    <row r="46" spans="1:33" ht="17">
      <c r="A46" s="2">
        <v>330</v>
      </c>
      <c r="AG46" s="17">
        <f t="shared" si="1"/>
        <v>0</v>
      </c>
    </row>
    <row r="47" spans="1:33" ht="17">
      <c r="A47" s="2">
        <v>331</v>
      </c>
      <c r="AG47" s="17">
        <f t="shared" si="1"/>
        <v>0</v>
      </c>
    </row>
    <row r="48" spans="1:33" ht="17">
      <c r="A48" s="2">
        <v>332</v>
      </c>
      <c r="AG48" s="17">
        <f t="shared" si="1"/>
        <v>0</v>
      </c>
    </row>
    <row r="49" spans="1:33" ht="17">
      <c r="A49" s="2">
        <v>333</v>
      </c>
      <c r="AG49" s="17">
        <f t="shared" si="1"/>
        <v>0</v>
      </c>
    </row>
    <row r="50" spans="1:33" ht="17">
      <c r="A50" s="2">
        <v>334</v>
      </c>
      <c r="AG50" s="17">
        <f t="shared" si="1"/>
        <v>0</v>
      </c>
    </row>
    <row r="51" spans="1:33" ht="17">
      <c r="A51" s="2">
        <v>335</v>
      </c>
      <c r="AG51" s="17">
        <f t="shared" si="1"/>
        <v>0</v>
      </c>
    </row>
    <row r="52" spans="1:33" ht="17">
      <c r="A52" s="2">
        <v>336</v>
      </c>
      <c r="AG52" s="17">
        <f t="shared" si="1"/>
        <v>0</v>
      </c>
    </row>
    <row r="53" spans="1:33" ht="17">
      <c r="A53" s="2">
        <v>337</v>
      </c>
      <c r="AG53" s="17">
        <f t="shared" si="1"/>
        <v>0</v>
      </c>
    </row>
    <row r="54" spans="1:33" ht="17">
      <c r="A54" s="2">
        <v>338</v>
      </c>
      <c r="AG54" s="17">
        <f t="shared" si="1"/>
        <v>0</v>
      </c>
    </row>
    <row r="55" spans="1:33" ht="17">
      <c r="A55" s="2">
        <v>339</v>
      </c>
      <c r="AG55" s="17">
        <f t="shared" si="1"/>
        <v>0</v>
      </c>
    </row>
    <row r="56" spans="1:33" ht="17">
      <c r="A56" s="2">
        <v>340</v>
      </c>
      <c r="AG56" s="17">
        <f t="shared" si="1"/>
        <v>0</v>
      </c>
    </row>
    <row r="57" spans="1:33" ht="17">
      <c r="A57" s="2">
        <v>341</v>
      </c>
      <c r="AG57" s="17">
        <f t="shared" si="1"/>
        <v>0</v>
      </c>
    </row>
    <row r="58" spans="1:33" ht="17">
      <c r="A58" s="2">
        <v>342</v>
      </c>
      <c r="AG58" s="17">
        <f t="shared" si="1"/>
        <v>0</v>
      </c>
    </row>
    <row r="59" spans="1:33" ht="17">
      <c r="A59" s="2">
        <v>343</v>
      </c>
      <c r="AG59" s="17">
        <f t="shared" si="1"/>
        <v>0</v>
      </c>
    </row>
    <row r="60" spans="1:33" ht="17">
      <c r="A60" s="2">
        <v>344</v>
      </c>
      <c r="AG60" s="17">
        <f t="shared" si="1"/>
        <v>0</v>
      </c>
    </row>
    <row r="61" spans="1:33" ht="17">
      <c r="A61" s="2">
        <v>345</v>
      </c>
      <c r="AG61" s="17">
        <f t="shared" si="1"/>
        <v>0</v>
      </c>
    </row>
    <row r="62" spans="1:33" ht="17">
      <c r="A62" s="2">
        <v>346</v>
      </c>
      <c r="AG62" s="17">
        <f t="shared" si="1"/>
        <v>0</v>
      </c>
    </row>
    <row r="63" spans="1:33" ht="17">
      <c r="A63" s="2">
        <v>347</v>
      </c>
      <c r="AG63" s="17">
        <f t="shared" si="1"/>
        <v>0</v>
      </c>
    </row>
    <row r="64" spans="1:33" ht="17">
      <c r="A64" s="2">
        <v>348</v>
      </c>
      <c r="AG64" s="17">
        <f t="shared" si="1"/>
        <v>0</v>
      </c>
    </row>
    <row r="65" spans="1:33" ht="17">
      <c r="A65" s="2">
        <v>349</v>
      </c>
      <c r="AG65" s="17">
        <f t="shared" si="1"/>
        <v>0</v>
      </c>
    </row>
    <row r="66" spans="1:33" ht="17">
      <c r="A66" s="2">
        <v>350</v>
      </c>
      <c r="AG66" s="17">
        <f t="shared" si="1"/>
        <v>0</v>
      </c>
    </row>
    <row r="67" spans="1:33" ht="17">
      <c r="A67" s="2">
        <v>351</v>
      </c>
      <c r="AG67" s="17">
        <f t="shared" ref="AG67:AG98" si="2">AB67*AF67</f>
        <v>0</v>
      </c>
    </row>
    <row r="68" spans="1:33" ht="17">
      <c r="A68" s="2">
        <v>352</v>
      </c>
      <c r="AG68" s="17">
        <f t="shared" si="2"/>
        <v>0</v>
      </c>
    </row>
    <row r="69" spans="1:33" ht="17">
      <c r="A69" s="2">
        <v>353</v>
      </c>
      <c r="AG69" s="17">
        <f t="shared" si="2"/>
        <v>0</v>
      </c>
    </row>
    <row r="70" spans="1:33" ht="17">
      <c r="A70" s="2">
        <v>354</v>
      </c>
      <c r="AG70" s="17">
        <f t="shared" si="2"/>
        <v>0</v>
      </c>
    </row>
    <row r="71" spans="1:33" ht="17">
      <c r="A71" s="2">
        <v>355</v>
      </c>
      <c r="AG71" s="17">
        <f t="shared" si="2"/>
        <v>0</v>
      </c>
    </row>
    <row r="72" spans="1:33" ht="17">
      <c r="A72" s="2">
        <v>356</v>
      </c>
      <c r="AG72" s="17">
        <f t="shared" si="2"/>
        <v>0</v>
      </c>
    </row>
    <row r="73" spans="1:33" ht="17">
      <c r="A73" s="2">
        <v>357</v>
      </c>
      <c r="AG73" s="17">
        <f t="shared" si="2"/>
        <v>0</v>
      </c>
    </row>
    <row r="74" spans="1:33" ht="17">
      <c r="A74" s="2">
        <v>358</v>
      </c>
      <c r="AG74" s="17">
        <f t="shared" si="2"/>
        <v>0</v>
      </c>
    </row>
    <row r="75" spans="1:33" ht="17">
      <c r="A75" s="2">
        <v>359</v>
      </c>
      <c r="AG75" s="17">
        <f t="shared" si="2"/>
        <v>0</v>
      </c>
    </row>
    <row r="76" spans="1:33" ht="17">
      <c r="A76" s="2">
        <v>360</v>
      </c>
      <c r="AG76" s="17">
        <f t="shared" si="2"/>
        <v>0</v>
      </c>
    </row>
    <row r="77" spans="1:33" ht="17">
      <c r="A77" s="2">
        <v>361</v>
      </c>
      <c r="AG77" s="17">
        <f t="shared" si="2"/>
        <v>0</v>
      </c>
    </row>
    <row r="78" spans="1:33" ht="17">
      <c r="A78" s="2">
        <v>362</v>
      </c>
      <c r="AG78" s="17">
        <f t="shared" si="2"/>
        <v>0</v>
      </c>
    </row>
    <row r="79" spans="1:33" ht="17">
      <c r="A79" s="2">
        <v>363</v>
      </c>
      <c r="AG79" s="17">
        <f t="shared" si="2"/>
        <v>0</v>
      </c>
    </row>
    <row r="80" spans="1:33" ht="17">
      <c r="A80" s="2">
        <v>364</v>
      </c>
      <c r="AG80" s="17">
        <f t="shared" si="2"/>
        <v>0</v>
      </c>
    </row>
    <row r="81" spans="1:33" ht="17">
      <c r="A81" s="2">
        <v>365</v>
      </c>
      <c r="AG81" s="17">
        <f t="shared" si="2"/>
        <v>0</v>
      </c>
    </row>
    <row r="82" spans="1:33" ht="17">
      <c r="A82" s="2">
        <v>366</v>
      </c>
      <c r="AG82" s="17">
        <f t="shared" si="2"/>
        <v>0</v>
      </c>
    </row>
    <row r="83" spans="1:33" ht="17">
      <c r="A83" s="2">
        <v>367</v>
      </c>
      <c r="AG83" s="17">
        <f t="shared" si="2"/>
        <v>0</v>
      </c>
    </row>
    <row r="84" spans="1:33" ht="17">
      <c r="A84" s="2">
        <v>368</v>
      </c>
      <c r="AG84" s="17">
        <f t="shared" si="2"/>
        <v>0</v>
      </c>
    </row>
    <row r="85" spans="1:33" ht="17">
      <c r="A85" s="2">
        <v>369</v>
      </c>
      <c r="AG85" s="17">
        <f t="shared" si="2"/>
        <v>0</v>
      </c>
    </row>
    <row r="86" spans="1:33" ht="17">
      <c r="A86" s="2">
        <v>370</v>
      </c>
      <c r="AG86" s="17">
        <f t="shared" si="2"/>
        <v>0</v>
      </c>
    </row>
    <row r="87" spans="1:33" ht="17">
      <c r="A87" s="2">
        <v>371</v>
      </c>
      <c r="AG87" s="17">
        <f t="shared" si="2"/>
        <v>0</v>
      </c>
    </row>
    <row r="88" spans="1:33" ht="17">
      <c r="A88" s="2">
        <v>372</v>
      </c>
      <c r="AG88" s="17">
        <f t="shared" si="2"/>
        <v>0</v>
      </c>
    </row>
    <row r="89" spans="1:33" ht="17">
      <c r="A89" s="2">
        <v>373</v>
      </c>
      <c r="AG89" s="17">
        <f t="shared" si="2"/>
        <v>0</v>
      </c>
    </row>
    <row r="90" spans="1:33" ht="17">
      <c r="A90" s="2">
        <v>374</v>
      </c>
      <c r="AG90" s="17">
        <f t="shared" si="2"/>
        <v>0</v>
      </c>
    </row>
    <row r="91" spans="1:33" ht="17">
      <c r="A91" s="2">
        <v>375</v>
      </c>
      <c r="AG91" s="17">
        <f t="shared" si="2"/>
        <v>0</v>
      </c>
    </row>
    <row r="92" spans="1:33" ht="17">
      <c r="A92" s="2">
        <v>376</v>
      </c>
      <c r="AG92" s="17">
        <f t="shared" si="2"/>
        <v>0</v>
      </c>
    </row>
    <row r="93" spans="1:33" ht="17">
      <c r="A93" s="2">
        <v>377</v>
      </c>
      <c r="AG93" s="17">
        <f t="shared" si="2"/>
        <v>0</v>
      </c>
    </row>
    <row r="94" spans="1:33" ht="17">
      <c r="A94" s="2">
        <v>378</v>
      </c>
      <c r="AG94" s="17">
        <f t="shared" si="2"/>
        <v>0</v>
      </c>
    </row>
    <row r="95" spans="1:33" ht="17">
      <c r="A95" s="2">
        <v>379</v>
      </c>
      <c r="AG95" s="17">
        <f t="shared" si="2"/>
        <v>0</v>
      </c>
    </row>
    <row r="96" spans="1:33" ht="17">
      <c r="A96" s="2">
        <v>380</v>
      </c>
      <c r="AG96" s="17">
        <f t="shared" si="2"/>
        <v>0</v>
      </c>
    </row>
    <row r="97" spans="1:33" ht="17">
      <c r="A97" s="2">
        <v>381</v>
      </c>
      <c r="AG97" s="17">
        <f t="shared" si="2"/>
        <v>0</v>
      </c>
    </row>
    <row r="98" spans="1:33" ht="17">
      <c r="A98" s="2">
        <v>382</v>
      </c>
      <c r="AG98" s="17">
        <f t="shared" si="2"/>
        <v>0</v>
      </c>
    </row>
    <row r="99" spans="1:33" ht="17">
      <c r="A99" s="2">
        <v>383</v>
      </c>
      <c r="AG99" s="17">
        <f t="shared" ref="AG99:AG130" si="3">AB99*AF99</f>
        <v>0</v>
      </c>
    </row>
    <row r="100" spans="1:33" ht="17">
      <c r="A100" s="2">
        <v>384</v>
      </c>
      <c r="AG100" s="17">
        <f t="shared" si="3"/>
        <v>0</v>
      </c>
    </row>
    <row r="101" spans="1:33" ht="17">
      <c r="A101" s="2">
        <v>385</v>
      </c>
      <c r="AG101" s="17">
        <f t="shared" si="3"/>
        <v>0</v>
      </c>
    </row>
    <row r="102" spans="1:33" ht="17">
      <c r="A102" s="2">
        <v>386</v>
      </c>
      <c r="AG102" s="17">
        <f t="shared" si="3"/>
        <v>0</v>
      </c>
    </row>
    <row r="103" spans="1:33" ht="17">
      <c r="A103" s="2">
        <v>387</v>
      </c>
      <c r="AG103" s="17">
        <f t="shared" si="3"/>
        <v>0</v>
      </c>
    </row>
    <row r="104" spans="1:33" ht="17">
      <c r="A104" s="2">
        <v>388</v>
      </c>
      <c r="AG104" s="17">
        <f t="shared" si="3"/>
        <v>0</v>
      </c>
    </row>
    <row r="105" spans="1:33" ht="17">
      <c r="A105" s="2">
        <v>389</v>
      </c>
      <c r="AG105" s="17">
        <f t="shared" si="3"/>
        <v>0</v>
      </c>
    </row>
    <row r="106" spans="1:33" ht="17">
      <c r="A106" s="2">
        <v>390</v>
      </c>
      <c r="AG106" s="17">
        <f t="shared" si="3"/>
        <v>0</v>
      </c>
    </row>
    <row r="107" spans="1:33" ht="17">
      <c r="A107" s="2">
        <v>391</v>
      </c>
      <c r="AG107" s="17">
        <f t="shared" si="3"/>
        <v>0</v>
      </c>
    </row>
    <row r="108" spans="1:33" ht="17">
      <c r="A108" s="2">
        <v>392</v>
      </c>
      <c r="AG108" s="17">
        <f t="shared" si="3"/>
        <v>0</v>
      </c>
    </row>
    <row r="109" spans="1:33" ht="17">
      <c r="A109" s="2">
        <v>393</v>
      </c>
      <c r="AG109" s="17">
        <f t="shared" si="3"/>
        <v>0</v>
      </c>
    </row>
    <row r="110" spans="1:33" ht="17">
      <c r="A110" s="2">
        <v>394</v>
      </c>
      <c r="AG110" s="17">
        <f t="shared" si="3"/>
        <v>0</v>
      </c>
    </row>
    <row r="111" spans="1:33" ht="17">
      <c r="A111" s="2">
        <v>395</v>
      </c>
      <c r="AG111" s="17">
        <f t="shared" si="3"/>
        <v>0</v>
      </c>
    </row>
    <row r="112" spans="1:33" ht="17">
      <c r="A112" s="2">
        <v>396</v>
      </c>
      <c r="AG112" s="17">
        <f t="shared" si="3"/>
        <v>0</v>
      </c>
    </row>
    <row r="113" spans="1:33" ht="17">
      <c r="A113" s="2">
        <v>397</v>
      </c>
      <c r="AG113" s="17">
        <f t="shared" si="3"/>
        <v>0</v>
      </c>
    </row>
    <row r="114" spans="1:33" ht="17">
      <c r="A114" s="2">
        <v>398</v>
      </c>
      <c r="AG114" s="17">
        <f t="shared" si="3"/>
        <v>0</v>
      </c>
    </row>
    <row r="115" spans="1:33" ht="17">
      <c r="A115" s="2">
        <v>399</v>
      </c>
      <c r="AG115" s="17">
        <f t="shared" si="3"/>
        <v>0</v>
      </c>
    </row>
    <row r="116" spans="1:33" ht="17">
      <c r="A116" s="2">
        <v>400</v>
      </c>
      <c r="AG116" s="17">
        <f t="shared" si="3"/>
        <v>0</v>
      </c>
    </row>
    <row r="117" spans="1:33" ht="17">
      <c r="A117" s="2">
        <v>401</v>
      </c>
      <c r="AG117" s="17">
        <f t="shared" si="3"/>
        <v>0</v>
      </c>
    </row>
    <row r="118" spans="1:33" ht="17">
      <c r="A118" s="2">
        <v>402</v>
      </c>
      <c r="AG118" s="17">
        <f t="shared" si="3"/>
        <v>0</v>
      </c>
    </row>
    <row r="119" spans="1:33" ht="17">
      <c r="A119" s="2">
        <v>403</v>
      </c>
      <c r="AG119" s="17">
        <f t="shared" si="3"/>
        <v>0</v>
      </c>
    </row>
    <row r="120" spans="1:33" ht="17">
      <c r="A120" s="2">
        <v>404</v>
      </c>
      <c r="AG120" s="17">
        <f t="shared" si="3"/>
        <v>0</v>
      </c>
    </row>
    <row r="121" spans="1:33" ht="17">
      <c r="A121" s="2">
        <v>405</v>
      </c>
      <c r="AG121" s="17">
        <f t="shared" si="3"/>
        <v>0</v>
      </c>
    </row>
    <row r="122" spans="1:33" ht="17">
      <c r="A122" s="2">
        <v>406</v>
      </c>
      <c r="AG122" s="17">
        <f t="shared" si="3"/>
        <v>0</v>
      </c>
    </row>
    <row r="123" spans="1:33" ht="17">
      <c r="A123" s="2">
        <v>407</v>
      </c>
      <c r="AG123" s="17">
        <f t="shared" si="3"/>
        <v>0</v>
      </c>
    </row>
    <row r="124" spans="1:33" ht="17">
      <c r="A124" s="2">
        <v>408</v>
      </c>
      <c r="AG124" s="17">
        <f t="shared" si="3"/>
        <v>0</v>
      </c>
    </row>
    <row r="125" spans="1:33" ht="17">
      <c r="A125" s="2">
        <v>409</v>
      </c>
      <c r="AG125" s="17">
        <f t="shared" si="3"/>
        <v>0</v>
      </c>
    </row>
    <row r="126" spans="1:33" ht="17">
      <c r="A126" s="2">
        <v>410</v>
      </c>
      <c r="AG126" s="17">
        <f t="shared" si="3"/>
        <v>0</v>
      </c>
    </row>
    <row r="127" spans="1:33" ht="17">
      <c r="A127" s="2">
        <v>411</v>
      </c>
      <c r="AG127" s="17">
        <f t="shared" si="3"/>
        <v>0</v>
      </c>
    </row>
    <row r="128" spans="1:33" ht="17">
      <c r="A128" s="2">
        <v>412</v>
      </c>
      <c r="AG128" s="17">
        <f t="shared" si="3"/>
        <v>0</v>
      </c>
    </row>
    <row r="129" spans="1:33" ht="17">
      <c r="A129" s="2">
        <v>413</v>
      </c>
      <c r="AG129" s="17">
        <f t="shared" si="3"/>
        <v>0</v>
      </c>
    </row>
    <row r="130" spans="1:33" ht="17">
      <c r="A130" s="2">
        <v>414</v>
      </c>
      <c r="AG130" s="17">
        <f t="shared" si="3"/>
        <v>0</v>
      </c>
    </row>
    <row r="131" spans="1:33" ht="17">
      <c r="A131" s="2">
        <v>415</v>
      </c>
      <c r="AG131" s="17">
        <f t="shared" ref="AG131:AG162" si="4">AB131*AF131</f>
        <v>0</v>
      </c>
    </row>
    <row r="132" spans="1:33" ht="17">
      <c r="A132" s="2">
        <v>416</v>
      </c>
      <c r="AG132" s="17">
        <f t="shared" si="4"/>
        <v>0</v>
      </c>
    </row>
    <row r="133" spans="1:33" ht="17">
      <c r="A133" s="2">
        <v>417</v>
      </c>
      <c r="AG133" s="17">
        <f t="shared" si="4"/>
        <v>0</v>
      </c>
    </row>
    <row r="134" spans="1:33" ht="17">
      <c r="A134" s="2">
        <v>418</v>
      </c>
      <c r="AG134" s="17">
        <f t="shared" si="4"/>
        <v>0</v>
      </c>
    </row>
    <row r="135" spans="1:33" ht="17">
      <c r="A135" s="2">
        <v>419</v>
      </c>
      <c r="AG135" s="17">
        <f t="shared" si="4"/>
        <v>0</v>
      </c>
    </row>
    <row r="136" spans="1:33" ht="17">
      <c r="A136" s="2">
        <v>420</v>
      </c>
      <c r="AG136" s="17">
        <f t="shared" si="4"/>
        <v>0</v>
      </c>
    </row>
    <row r="137" spans="1:33" ht="17">
      <c r="A137" s="2">
        <v>421</v>
      </c>
      <c r="AG137" s="17">
        <f t="shared" si="4"/>
        <v>0</v>
      </c>
    </row>
    <row r="138" spans="1:33" ht="17">
      <c r="A138" s="2">
        <v>422</v>
      </c>
      <c r="AG138" s="17">
        <f t="shared" si="4"/>
        <v>0</v>
      </c>
    </row>
    <row r="139" spans="1:33" ht="17">
      <c r="A139" s="2">
        <v>423</v>
      </c>
      <c r="AG139" s="17">
        <f t="shared" si="4"/>
        <v>0</v>
      </c>
    </row>
    <row r="140" spans="1:33" ht="17">
      <c r="A140" s="2">
        <v>424</v>
      </c>
      <c r="AG140" s="17">
        <f t="shared" si="4"/>
        <v>0</v>
      </c>
    </row>
    <row r="141" spans="1:33" ht="17">
      <c r="A141" s="2">
        <v>425</v>
      </c>
      <c r="AG141" s="17">
        <f t="shared" si="4"/>
        <v>0</v>
      </c>
    </row>
    <row r="142" spans="1:33" ht="17">
      <c r="A142" s="2">
        <v>426</v>
      </c>
      <c r="AG142" s="17">
        <f t="shared" si="4"/>
        <v>0</v>
      </c>
    </row>
    <row r="143" spans="1:33" ht="17">
      <c r="A143" s="2">
        <v>427</v>
      </c>
      <c r="AG143" s="17">
        <f t="shared" si="4"/>
        <v>0</v>
      </c>
    </row>
    <row r="144" spans="1:33" ht="17">
      <c r="A144" s="2">
        <v>428</v>
      </c>
      <c r="AG144" s="17">
        <f t="shared" si="4"/>
        <v>0</v>
      </c>
    </row>
    <row r="145" spans="1:33" ht="17">
      <c r="A145" s="2">
        <v>429</v>
      </c>
      <c r="AG145" s="17">
        <f t="shared" si="4"/>
        <v>0</v>
      </c>
    </row>
    <row r="146" spans="1:33" ht="17">
      <c r="A146" s="2">
        <v>430</v>
      </c>
      <c r="AG146" s="17">
        <f t="shared" si="4"/>
        <v>0</v>
      </c>
    </row>
    <row r="147" spans="1:33" ht="17">
      <c r="A147" s="2">
        <v>431</v>
      </c>
      <c r="AG147" s="17">
        <f t="shared" si="4"/>
        <v>0</v>
      </c>
    </row>
    <row r="148" spans="1:33" ht="17">
      <c r="A148" s="2">
        <v>432</v>
      </c>
      <c r="AG148" s="17">
        <f t="shared" si="4"/>
        <v>0</v>
      </c>
    </row>
    <row r="149" spans="1:33" ht="17">
      <c r="A149" s="2">
        <v>433</v>
      </c>
      <c r="AG149" s="17">
        <f t="shared" si="4"/>
        <v>0</v>
      </c>
    </row>
    <row r="150" spans="1:33" ht="17">
      <c r="A150" s="2">
        <v>434</v>
      </c>
      <c r="AG150" s="17">
        <f t="shared" si="4"/>
        <v>0</v>
      </c>
    </row>
    <row r="151" spans="1:33" ht="17">
      <c r="A151" s="2">
        <v>435</v>
      </c>
      <c r="AG151" s="17">
        <f t="shared" si="4"/>
        <v>0</v>
      </c>
    </row>
    <row r="152" spans="1:33" ht="17">
      <c r="A152" s="2">
        <v>436</v>
      </c>
      <c r="AG152" s="17">
        <f t="shared" si="4"/>
        <v>0</v>
      </c>
    </row>
    <row r="153" spans="1:33" ht="17">
      <c r="A153" s="2">
        <v>437</v>
      </c>
      <c r="AG153" s="17">
        <f t="shared" si="4"/>
        <v>0</v>
      </c>
    </row>
    <row r="154" spans="1:33" ht="17">
      <c r="A154" s="2">
        <v>438</v>
      </c>
      <c r="AG154" s="17">
        <f t="shared" si="4"/>
        <v>0</v>
      </c>
    </row>
    <row r="155" spans="1:33" ht="17">
      <c r="A155" s="2">
        <v>439</v>
      </c>
      <c r="AG155" s="17">
        <f t="shared" si="4"/>
        <v>0</v>
      </c>
    </row>
    <row r="156" spans="1:33" ht="17">
      <c r="A156" s="2">
        <v>440</v>
      </c>
      <c r="AG156" s="17">
        <f t="shared" si="4"/>
        <v>0</v>
      </c>
    </row>
    <row r="157" spans="1:33" ht="17">
      <c r="A157" s="2">
        <v>441</v>
      </c>
      <c r="AG157" s="17">
        <f t="shared" si="4"/>
        <v>0</v>
      </c>
    </row>
    <row r="158" spans="1:33" ht="17">
      <c r="A158" s="2">
        <v>442</v>
      </c>
      <c r="AG158" s="17">
        <f t="shared" si="4"/>
        <v>0</v>
      </c>
    </row>
    <row r="159" spans="1:33" ht="17">
      <c r="A159" s="2">
        <v>443</v>
      </c>
      <c r="AG159" s="17">
        <f t="shared" si="4"/>
        <v>0</v>
      </c>
    </row>
    <row r="160" spans="1:33" ht="17">
      <c r="A160" s="2">
        <v>444</v>
      </c>
      <c r="AG160" s="17">
        <f t="shared" si="4"/>
        <v>0</v>
      </c>
    </row>
    <row r="161" spans="1:33" ht="17">
      <c r="A161" s="2">
        <v>445</v>
      </c>
      <c r="AG161" s="17">
        <f t="shared" si="4"/>
        <v>0</v>
      </c>
    </row>
    <row r="162" spans="1:33" ht="17">
      <c r="A162" s="2">
        <v>446</v>
      </c>
      <c r="AG162" s="17">
        <f t="shared" si="4"/>
        <v>0</v>
      </c>
    </row>
    <row r="163" spans="1:33" ht="17">
      <c r="A163" s="2">
        <v>447</v>
      </c>
      <c r="AG163" s="17">
        <f t="shared" ref="AG163:AG186" si="5">AB163*AF163</f>
        <v>0</v>
      </c>
    </row>
    <row r="164" spans="1:33" ht="17">
      <c r="A164" s="2">
        <v>448</v>
      </c>
      <c r="AG164" s="17">
        <f t="shared" si="5"/>
        <v>0</v>
      </c>
    </row>
    <row r="165" spans="1:33" ht="17">
      <c r="A165" s="2">
        <v>449</v>
      </c>
      <c r="AG165" s="17">
        <f t="shared" si="5"/>
        <v>0</v>
      </c>
    </row>
    <row r="166" spans="1:33" ht="17">
      <c r="A166" s="2">
        <v>450</v>
      </c>
      <c r="AG166" s="17">
        <f t="shared" si="5"/>
        <v>0</v>
      </c>
    </row>
    <row r="167" spans="1:33" ht="17">
      <c r="A167" s="2">
        <v>451</v>
      </c>
      <c r="AG167" s="17">
        <f t="shared" si="5"/>
        <v>0</v>
      </c>
    </row>
    <row r="168" spans="1:33" ht="17">
      <c r="A168" s="2">
        <v>452</v>
      </c>
      <c r="AG168" s="17">
        <f t="shared" si="5"/>
        <v>0</v>
      </c>
    </row>
    <row r="169" spans="1:33" ht="17">
      <c r="A169" s="2">
        <v>453</v>
      </c>
      <c r="AG169" s="17">
        <f t="shared" si="5"/>
        <v>0</v>
      </c>
    </row>
    <row r="170" spans="1:33" ht="17">
      <c r="A170" s="2">
        <v>454</v>
      </c>
      <c r="AG170" s="17">
        <f t="shared" si="5"/>
        <v>0</v>
      </c>
    </row>
    <row r="171" spans="1:33" ht="17">
      <c r="A171" s="2">
        <v>455</v>
      </c>
      <c r="AG171" s="17">
        <f t="shared" si="5"/>
        <v>0</v>
      </c>
    </row>
    <row r="172" spans="1:33" ht="17">
      <c r="A172" s="2">
        <v>456</v>
      </c>
      <c r="AG172" s="17">
        <f t="shared" si="5"/>
        <v>0</v>
      </c>
    </row>
    <row r="173" spans="1:33" ht="17">
      <c r="A173" s="2">
        <v>457</v>
      </c>
      <c r="AG173" s="17">
        <f t="shared" si="5"/>
        <v>0</v>
      </c>
    </row>
    <row r="174" spans="1:33" ht="17">
      <c r="A174" s="2">
        <v>458</v>
      </c>
      <c r="AG174" s="17">
        <f t="shared" si="5"/>
        <v>0</v>
      </c>
    </row>
    <row r="175" spans="1:33" ht="17">
      <c r="A175" s="2">
        <v>459</v>
      </c>
      <c r="AG175" s="17">
        <f t="shared" si="5"/>
        <v>0</v>
      </c>
    </row>
    <row r="176" spans="1:33" ht="17">
      <c r="A176" s="2">
        <v>460</v>
      </c>
      <c r="AG176" s="17">
        <f t="shared" si="5"/>
        <v>0</v>
      </c>
    </row>
    <row r="177" spans="1:33" ht="17">
      <c r="A177" s="2">
        <v>461</v>
      </c>
      <c r="AG177" s="17">
        <f t="shared" si="5"/>
        <v>0</v>
      </c>
    </row>
    <row r="178" spans="1:33" ht="17">
      <c r="A178" s="2">
        <v>462</v>
      </c>
      <c r="AG178" s="17">
        <f t="shared" si="5"/>
        <v>0</v>
      </c>
    </row>
    <row r="179" spans="1:33" ht="17">
      <c r="A179" s="2">
        <v>463</v>
      </c>
      <c r="AG179" s="17">
        <f t="shared" si="5"/>
        <v>0</v>
      </c>
    </row>
    <row r="180" spans="1:33" ht="17">
      <c r="A180" s="2">
        <v>464</v>
      </c>
      <c r="AG180" s="17">
        <f t="shared" si="5"/>
        <v>0</v>
      </c>
    </row>
    <row r="181" spans="1:33" ht="17">
      <c r="A181" s="2">
        <v>465</v>
      </c>
      <c r="AG181" s="17">
        <f t="shared" si="5"/>
        <v>0</v>
      </c>
    </row>
    <row r="182" spans="1:33" ht="17">
      <c r="A182" s="2">
        <v>466</v>
      </c>
      <c r="AG182" s="17">
        <f t="shared" si="5"/>
        <v>0</v>
      </c>
    </row>
    <row r="183" spans="1:33" ht="17">
      <c r="A183" s="2">
        <v>467</v>
      </c>
      <c r="AG183" s="17">
        <f t="shared" si="5"/>
        <v>0</v>
      </c>
    </row>
    <row r="184" spans="1:33" ht="17">
      <c r="A184" s="2">
        <v>468</v>
      </c>
      <c r="AG184" s="17">
        <f t="shared" si="5"/>
        <v>0</v>
      </c>
    </row>
    <row r="185" spans="1:33" ht="17">
      <c r="A185" s="2">
        <v>469</v>
      </c>
      <c r="AG185" s="17">
        <f t="shared" si="5"/>
        <v>0</v>
      </c>
    </row>
    <row r="186" spans="1:33" ht="17">
      <c r="A186" s="2">
        <v>470</v>
      </c>
      <c r="AG186" s="17">
        <f t="shared" si="5"/>
        <v>0</v>
      </c>
    </row>
    <row r="187" spans="1:33" ht="16.5" customHeight="1">
      <c r="A187" s="2">
        <v>471</v>
      </c>
    </row>
    <row r="188" spans="1:33" ht="16.5" customHeight="1">
      <c r="A188" s="2">
        <v>472</v>
      </c>
    </row>
    <row r="189" spans="1:33" ht="16.5" customHeight="1">
      <c r="A189" s="2">
        <v>473</v>
      </c>
    </row>
    <row r="190" spans="1:33" ht="16.5" customHeight="1">
      <c r="A190" s="2">
        <v>474</v>
      </c>
    </row>
    <row r="191" spans="1:33" ht="16.5" customHeight="1">
      <c r="A191" s="2">
        <v>475</v>
      </c>
    </row>
    <row r="192" spans="1:33" ht="16.5" customHeight="1">
      <c r="A192" s="2">
        <v>476</v>
      </c>
    </row>
    <row r="193" spans="1:1" ht="16.5" customHeight="1">
      <c r="A193" s="2">
        <v>477</v>
      </c>
    </row>
    <row r="194" spans="1:1" ht="16.5" customHeight="1">
      <c r="A194" s="2">
        <v>478</v>
      </c>
    </row>
    <row r="195" spans="1:1" ht="16.5" customHeight="1">
      <c r="A195" s="2">
        <v>479</v>
      </c>
    </row>
    <row r="196" spans="1:1" ht="16.5" customHeight="1">
      <c r="A196" s="2">
        <v>480</v>
      </c>
    </row>
    <row r="197" spans="1:1" ht="16.5" customHeight="1">
      <c r="A197" s="2">
        <v>481</v>
      </c>
    </row>
    <row r="198" spans="1:1" ht="16.5" customHeight="1">
      <c r="A198" s="2">
        <v>482</v>
      </c>
    </row>
    <row r="199" spans="1:1" ht="16.5" customHeight="1">
      <c r="A199" s="2">
        <v>483</v>
      </c>
    </row>
    <row r="200" spans="1:1" ht="16.5" customHeight="1">
      <c r="A200" s="2">
        <v>484</v>
      </c>
    </row>
    <row r="201" spans="1:1" ht="16.5" customHeight="1">
      <c r="A201" s="2">
        <v>485</v>
      </c>
    </row>
    <row r="202" spans="1:1" ht="16.5" customHeight="1">
      <c r="A202" s="2">
        <v>486</v>
      </c>
    </row>
    <row r="203" spans="1:1" ht="16.5" customHeight="1">
      <c r="A203" s="2">
        <v>487</v>
      </c>
    </row>
    <row r="204" spans="1:1" ht="16.5" customHeight="1">
      <c r="A204" s="2">
        <v>488</v>
      </c>
    </row>
    <row r="205" spans="1:1" ht="16.5" customHeight="1">
      <c r="A205" s="2">
        <v>489</v>
      </c>
    </row>
    <row r="206" spans="1:1" ht="16.5" customHeight="1">
      <c r="A206" s="2">
        <v>490</v>
      </c>
    </row>
    <row r="207" spans="1:1" ht="16.5" customHeight="1">
      <c r="A207" s="2">
        <v>491</v>
      </c>
    </row>
    <row r="208" spans="1:1" ht="16.5" customHeight="1">
      <c r="A208" s="2">
        <v>492</v>
      </c>
    </row>
    <row r="209" spans="1:1" ht="16.5" customHeight="1">
      <c r="A209" s="2">
        <v>493</v>
      </c>
    </row>
    <row r="210" spans="1:1" ht="16.5" customHeight="1">
      <c r="A210" s="2">
        <v>494</v>
      </c>
    </row>
    <row r="211" spans="1:1" ht="16.5" customHeight="1">
      <c r="A211" s="2">
        <v>495</v>
      </c>
    </row>
    <row r="212" spans="1:1" ht="16.5" customHeight="1">
      <c r="A212" s="2">
        <v>496</v>
      </c>
    </row>
    <row r="213" spans="1:1" ht="16.5" customHeight="1">
      <c r="A213" s="2">
        <v>497</v>
      </c>
    </row>
    <row r="214" spans="1:1" ht="16.5" customHeight="1">
      <c r="A214" s="2">
        <v>498</v>
      </c>
    </row>
    <row r="215" spans="1:1" ht="16.5" customHeight="1">
      <c r="A215" s="2">
        <v>499</v>
      </c>
    </row>
    <row r="216" spans="1:1" ht="16.5" customHeight="1">
      <c r="A216" s="2">
        <v>500</v>
      </c>
    </row>
    <row r="217" spans="1:1" ht="16.5" customHeight="1">
      <c r="A217" s="2">
        <v>501</v>
      </c>
    </row>
    <row r="218" spans="1:1" ht="16.5" customHeight="1">
      <c r="A218" s="2">
        <v>502</v>
      </c>
    </row>
    <row r="219" spans="1:1" ht="16.5" customHeight="1">
      <c r="A219" s="2">
        <v>503</v>
      </c>
    </row>
    <row r="220" spans="1:1" ht="16.5" customHeight="1">
      <c r="A220" s="2">
        <v>504</v>
      </c>
    </row>
    <row r="221" spans="1:1" ht="16.5" customHeight="1">
      <c r="A221" s="2">
        <v>505</v>
      </c>
    </row>
    <row r="222" spans="1:1" ht="16.5" customHeight="1">
      <c r="A222" s="2">
        <v>506</v>
      </c>
    </row>
    <row r="223" spans="1:1" ht="16.5" customHeight="1">
      <c r="A223" s="2">
        <v>507</v>
      </c>
    </row>
    <row r="224" spans="1:1" ht="16.5" customHeight="1">
      <c r="A224" s="2">
        <v>508</v>
      </c>
    </row>
    <row r="225" spans="1:1" ht="16.5" customHeight="1">
      <c r="A225" s="2">
        <v>509</v>
      </c>
    </row>
    <row r="226" spans="1:1" ht="16.5" customHeight="1">
      <c r="A226" s="2">
        <v>510</v>
      </c>
    </row>
    <row r="227" spans="1:1" ht="16.5" customHeight="1">
      <c r="A227" s="2">
        <v>511</v>
      </c>
    </row>
    <row r="228" spans="1:1" ht="16.5" customHeight="1">
      <c r="A228" s="2">
        <v>512</v>
      </c>
    </row>
    <row r="229" spans="1:1" ht="16.5" customHeight="1">
      <c r="A229" s="2">
        <v>513</v>
      </c>
    </row>
    <row r="230" spans="1:1" ht="16.5" customHeight="1">
      <c r="A230" s="2">
        <v>514</v>
      </c>
    </row>
    <row r="231" spans="1:1" ht="16.5" customHeight="1">
      <c r="A231" s="2">
        <v>515</v>
      </c>
    </row>
    <row r="232" spans="1:1" ht="16.5" customHeight="1">
      <c r="A232" s="2">
        <v>516</v>
      </c>
    </row>
    <row r="233" spans="1:1" ht="16.5" customHeight="1">
      <c r="A233" s="2">
        <v>517</v>
      </c>
    </row>
    <row r="234" spans="1:1" ht="16.5" customHeight="1">
      <c r="A234" s="2">
        <v>518</v>
      </c>
    </row>
    <row r="235" spans="1:1" ht="16.5" customHeight="1">
      <c r="A235" s="2">
        <v>519</v>
      </c>
    </row>
    <row r="236" spans="1:1" ht="16.5" customHeight="1">
      <c r="A236" s="2">
        <v>520</v>
      </c>
    </row>
    <row r="237" spans="1:1" ht="16.5" customHeight="1">
      <c r="A237" s="2">
        <v>521</v>
      </c>
    </row>
    <row r="238" spans="1:1" ht="16.5" customHeight="1">
      <c r="A238" s="2">
        <v>522</v>
      </c>
    </row>
    <row r="239" spans="1:1" ht="16.5" customHeight="1">
      <c r="A239" s="2">
        <v>523</v>
      </c>
    </row>
    <row r="240" spans="1:1" ht="16.5" customHeight="1">
      <c r="A240" s="2">
        <v>524</v>
      </c>
    </row>
    <row r="241" spans="1:1" ht="16.5" customHeight="1">
      <c r="A241" s="2">
        <v>525</v>
      </c>
    </row>
    <row r="242" spans="1:1" ht="16.5" customHeight="1">
      <c r="A242" s="2">
        <v>526</v>
      </c>
    </row>
    <row r="243" spans="1:1" ht="16.5" customHeight="1">
      <c r="A243" s="2">
        <v>527</v>
      </c>
    </row>
    <row r="244" spans="1:1" ht="16.5" customHeight="1">
      <c r="A244" s="2">
        <v>528</v>
      </c>
    </row>
    <row r="245" spans="1:1" ht="16.5" customHeight="1">
      <c r="A245" s="2">
        <v>529</v>
      </c>
    </row>
    <row r="246" spans="1:1" ht="16.5" customHeight="1">
      <c r="A246" s="2">
        <v>530</v>
      </c>
    </row>
    <row r="247" spans="1:1" ht="16.5" customHeight="1">
      <c r="A247" s="2">
        <v>531</v>
      </c>
    </row>
    <row r="248" spans="1:1" ht="16.5" customHeight="1">
      <c r="A248" s="2">
        <v>532</v>
      </c>
    </row>
    <row r="249" spans="1:1" ht="16.5" customHeight="1">
      <c r="A249" s="2">
        <v>533</v>
      </c>
    </row>
    <row r="250" spans="1:1" ht="16.5" customHeight="1">
      <c r="A250" s="2">
        <v>534</v>
      </c>
    </row>
    <row r="251" spans="1:1" ht="16.5" customHeight="1">
      <c r="A251" s="2">
        <v>535</v>
      </c>
    </row>
    <row r="252" spans="1:1" ht="16.5" customHeight="1">
      <c r="A252" s="2">
        <v>536</v>
      </c>
    </row>
    <row r="253" spans="1:1" ht="16.5" customHeight="1">
      <c r="A253" s="2">
        <v>537</v>
      </c>
    </row>
    <row r="254" spans="1:1" ht="16.5" customHeight="1">
      <c r="A254" s="2">
        <v>538</v>
      </c>
    </row>
    <row r="255" spans="1:1" ht="16.5" customHeight="1">
      <c r="A255" s="2">
        <v>539</v>
      </c>
    </row>
    <row r="256" spans="1:1" ht="16.5" customHeight="1">
      <c r="A256" s="2">
        <v>540</v>
      </c>
    </row>
    <row r="257" spans="1:1" ht="16.5" customHeight="1">
      <c r="A257" s="2">
        <v>541</v>
      </c>
    </row>
    <row r="258" spans="1:1" ht="16.5" customHeight="1">
      <c r="A258" s="2">
        <v>542</v>
      </c>
    </row>
    <row r="259" spans="1:1" ht="16.5" customHeight="1">
      <c r="A259" s="2">
        <v>543</v>
      </c>
    </row>
    <row r="260" spans="1:1" ht="16.5" customHeight="1">
      <c r="A260" s="2">
        <v>544</v>
      </c>
    </row>
    <row r="261" spans="1:1" ht="16.5" customHeight="1">
      <c r="A261" s="2">
        <v>545</v>
      </c>
    </row>
    <row r="262" spans="1:1" ht="16.5" customHeight="1">
      <c r="A262" s="2">
        <v>546</v>
      </c>
    </row>
    <row r="263" spans="1:1" ht="16.5" customHeight="1">
      <c r="A263" s="2">
        <v>547</v>
      </c>
    </row>
    <row r="264" spans="1:1" ht="16.5" customHeight="1">
      <c r="A264" s="2">
        <v>548</v>
      </c>
    </row>
    <row r="265" spans="1:1" ht="16.5" customHeight="1">
      <c r="A265" s="2">
        <v>549</v>
      </c>
    </row>
    <row r="266" spans="1:1" ht="16.5" customHeight="1">
      <c r="A266" s="2">
        <v>550</v>
      </c>
    </row>
    <row r="267" spans="1:1" ht="16.5" customHeight="1">
      <c r="A267" s="2">
        <v>551</v>
      </c>
    </row>
    <row r="268" spans="1:1" ht="16.5" customHeight="1">
      <c r="A268" s="2">
        <v>552</v>
      </c>
    </row>
    <row r="269" spans="1:1" ht="16.5" customHeight="1">
      <c r="A269" s="2">
        <v>553</v>
      </c>
    </row>
    <row r="270" spans="1:1" ht="16.5" customHeight="1">
      <c r="A270" s="2">
        <v>554</v>
      </c>
    </row>
    <row r="271" spans="1:1" ht="16.5" customHeight="1">
      <c r="A271" s="2">
        <v>555</v>
      </c>
    </row>
    <row r="272" spans="1:1" ht="16.5" customHeight="1">
      <c r="A272" s="2">
        <v>556</v>
      </c>
    </row>
    <row r="273" spans="1:1" ht="16.5" customHeight="1">
      <c r="A273" s="2">
        <v>557</v>
      </c>
    </row>
    <row r="274" spans="1:1" ht="16.5" customHeight="1">
      <c r="A274" s="2">
        <v>558</v>
      </c>
    </row>
    <row r="275" spans="1:1" ht="16.5" customHeight="1">
      <c r="A275" s="2">
        <v>559</v>
      </c>
    </row>
    <row r="276" spans="1:1" ht="16.5" customHeight="1">
      <c r="A276" s="2">
        <v>560</v>
      </c>
    </row>
    <row r="277" spans="1:1" ht="16.5" customHeight="1">
      <c r="A277" s="2">
        <v>561</v>
      </c>
    </row>
    <row r="278" spans="1:1" ht="16.5" customHeight="1">
      <c r="A278" s="2">
        <v>562</v>
      </c>
    </row>
    <row r="279" spans="1:1" ht="16.5" customHeight="1">
      <c r="A279" s="2">
        <v>563</v>
      </c>
    </row>
    <row r="280" spans="1:1" ht="16.5" customHeight="1">
      <c r="A280" s="2">
        <v>564</v>
      </c>
    </row>
    <row r="281" spans="1:1" ht="16.5" customHeight="1">
      <c r="A281" s="2">
        <v>565</v>
      </c>
    </row>
    <row r="282" spans="1:1" ht="16.5" customHeight="1">
      <c r="A282" s="2">
        <v>566</v>
      </c>
    </row>
    <row r="283" spans="1:1" ht="16.5" customHeight="1">
      <c r="A283" s="2">
        <v>567</v>
      </c>
    </row>
    <row r="284" spans="1:1" ht="16.5" customHeight="1">
      <c r="A284" s="2">
        <v>568</v>
      </c>
    </row>
    <row r="285" spans="1:1" ht="16.5" customHeight="1">
      <c r="A285" s="2">
        <v>569</v>
      </c>
    </row>
    <row r="286" spans="1:1" ht="16.5" customHeight="1">
      <c r="A286" s="2">
        <v>570</v>
      </c>
    </row>
    <row r="287" spans="1:1" ht="16.5" customHeight="1">
      <c r="A287" s="2">
        <v>571</v>
      </c>
    </row>
    <row r="288" spans="1:1" ht="16.5" customHeight="1">
      <c r="A288" s="2">
        <v>572</v>
      </c>
    </row>
    <row r="289" spans="1:1" ht="16.5" customHeight="1">
      <c r="A289" s="2">
        <v>573</v>
      </c>
    </row>
    <row r="290" spans="1:1" ht="16.5" customHeight="1">
      <c r="A290" s="2">
        <v>574</v>
      </c>
    </row>
    <row r="291" spans="1:1" ht="16.5" customHeight="1">
      <c r="A291" s="2">
        <v>575</v>
      </c>
    </row>
    <row r="292" spans="1:1" ht="16.5" customHeight="1">
      <c r="A292" s="2">
        <v>576</v>
      </c>
    </row>
    <row r="293" spans="1:1" ht="16.5" customHeight="1">
      <c r="A293" s="2">
        <v>577</v>
      </c>
    </row>
    <row r="294" spans="1:1" ht="16.5" customHeight="1">
      <c r="A294" s="2">
        <v>578</v>
      </c>
    </row>
    <row r="295" spans="1:1" ht="16.5" customHeight="1">
      <c r="A295" s="2">
        <v>579</v>
      </c>
    </row>
    <row r="296" spans="1:1" ht="16.5" customHeight="1">
      <c r="A296" s="2">
        <v>580</v>
      </c>
    </row>
    <row r="297" spans="1:1" ht="16.5" customHeight="1">
      <c r="A297" s="2">
        <v>581</v>
      </c>
    </row>
    <row r="298" spans="1:1" ht="16.5" customHeight="1">
      <c r="A298" s="2">
        <v>582</v>
      </c>
    </row>
    <row r="299" spans="1:1" ht="16.5" customHeight="1">
      <c r="A299" s="2">
        <v>583</v>
      </c>
    </row>
    <row r="300" spans="1:1" ht="16.5" customHeight="1">
      <c r="A300" s="2">
        <v>584</v>
      </c>
    </row>
    <row r="301" spans="1:1" ht="16.5" customHeight="1">
      <c r="A301" s="2">
        <v>585</v>
      </c>
    </row>
    <row r="302" spans="1:1" ht="16.5" customHeight="1">
      <c r="A302" s="2">
        <v>586</v>
      </c>
    </row>
    <row r="303" spans="1:1" ht="16.5" customHeight="1">
      <c r="A303" s="2">
        <v>587</v>
      </c>
    </row>
    <row r="304" spans="1:1" ht="16.5" customHeight="1">
      <c r="A304" s="2">
        <v>588</v>
      </c>
    </row>
    <row r="305" spans="1:1" ht="16.5" customHeight="1">
      <c r="A305" s="2">
        <v>589</v>
      </c>
    </row>
    <row r="306" spans="1:1" ht="16.5" customHeight="1">
      <c r="A306" s="2">
        <v>590</v>
      </c>
    </row>
    <row r="307" spans="1:1" ht="16.5" customHeight="1">
      <c r="A307" s="2">
        <v>591</v>
      </c>
    </row>
    <row r="308" spans="1:1" ht="16.5" customHeight="1">
      <c r="A308" s="2">
        <v>592</v>
      </c>
    </row>
    <row r="309" spans="1:1" ht="16.5" customHeight="1">
      <c r="A309" s="2">
        <v>593</v>
      </c>
    </row>
    <row r="310" spans="1:1" ht="16.5" customHeight="1">
      <c r="A310" s="2">
        <v>594</v>
      </c>
    </row>
    <row r="311" spans="1:1" ht="16.5" customHeight="1">
      <c r="A311" s="2">
        <v>595</v>
      </c>
    </row>
    <row r="312" spans="1:1" ht="16.5" customHeight="1">
      <c r="A312" s="2">
        <v>596</v>
      </c>
    </row>
    <row r="313" spans="1:1" ht="16.5" customHeight="1">
      <c r="A313" s="2">
        <v>597</v>
      </c>
    </row>
    <row r="314" spans="1:1" ht="16.5" customHeight="1">
      <c r="A314" s="2">
        <v>598</v>
      </c>
    </row>
    <row r="315" spans="1:1" ht="16.5" customHeight="1">
      <c r="A315" s="2">
        <v>599</v>
      </c>
    </row>
    <row r="316" spans="1:1" ht="16.5" customHeight="1">
      <c r="A316" s="2">
        <v>600</v>
      </c>
    </row>
    <row r="317" spans="1:1" ht="16.5" customHeight="1">
      <c r="A317" s="2">
        <v>601</v>
      </c>
    </row>
    <row r="318" spans="1:1" ht="16.5" customHeight="1">
      <c r="A318" s="2">
        <v>602</v>
      </c>
    </row>
    <row r="319" spans="1:1" ht="16.5" customHeight="1">
      <c r="A319" s="2">
        <v>603</v>
      </c>
    </row>
    <row r="320" spans="1:1" ht="16.5" customHeight="1">
      <c r="A320" s="2">
        <v>604</v>
      </c>
    </row>
    <row r="321" spans="1:1" ht="16.5" customHeight="1">
      <c r="A321" s="2">
        <v>605</v>
      </c>
    </row>
    <row r="322" spans="1:1" ht="16.5" customHeight="1">
      <c r="A322" s="2">
        <v>606</v>
      </c>
    </row>
    <row r="323" spans="1:1" ht="16.5" customHeight="1">
      <c r="A323" s="2">
        <v>607</v>
      </c>
    </row>
    <row r="324" spans="1:1" ht="16.5" customHeight="1">
      <c r="A324" s="2">
        <v>608</v>
      </c>
    </row>
    <row r="325" spans="1:1" ht="16.5" customHeight="1">
      <c r="A325" s="2">
        <v>609</v>
      </c>
    </row>
    <row r="326" spans="1:1" ht="16.5" customHeight="1">
      <c r="A326" s="2">
        <v>610</v>
      </c>
    </row>
    <row r="327" spans="1:1" ht="16.5" customHeight="1">
      <c r="A327" s="2">
        <v>611</v>
      </c>
    </row>
    <row r="328" spans="1:1" ht="16.5" customHeight="1">
      <c r="A328" s="2">
        <v>612</v>
      </c>
    </row>
    <row r="329" spans="1:1" ht="16.5" customHeight="1">
      <c r="A329" s="2">
        <v>613</v>
      </c>
    </row>
    <row r="330" spans="1:1" ht="16.5" customHeight="1">
      <c r="A330" s="2">
        <v>614</v>
      </c>
    </row>
    <row r="331" spans="1:1" ht="16.5" customHeight="1">
      <c r="A331" s="2">
        <v>615</v>
      </c>
    </row>
    <row r="332" spans="1:1" ht="16.5" customHeight="1">
      <c r="A332" s="2">
        <v>616</v>
      </c>
    </row>
    <row r="333" spans="1:1" ht="16.5" customHeight="1">
      <c r="A333" s="2">
        <v>617</v>
      </c>
    </row>
    <row r="334" spans="1:1" ht="16.5" customHeight="1">
      <c r="A334" s="2">
        <v>618</v>
      </c>
    </row>
    <row r="335" spans="1:1" ht="16.5" customHeight="1">
      <c r="A335" s="2">
        <v>619</v>
      </c>
    </row>
    <row r="336" spans="1:1" ht="16.5" customHeight="1">
      <c r="A336" s="2">
        <v>620</v>
      </c>
    </row>
    <row r="337" spans="1:1" ht="16.5" customHeight="1">
      <c r="A337" s="2">
        <v>621</v>
      </c>
    </row>
    <row r="338" spans="1:1" ht="16.5" customHeight="1">
      <c r="A338" s="2">
        <v>622</v>
      </c>
    </row>
    <row r="339" spans="1:1" ht="16.5" customHeight="1">
      <c r="A339" s="2">
        <v>623</v>
      </c>
    </row>
    <row r="340" spans="1:1" ht="16.5" customHeight="1">
      <c r="A340" s="2">
        <v>624</v>
      </c>
    </row>
    <row r="341" spans="1:1" ht="16.5" customHeight="1">
      <c r="A341" s="2">
        <v>625</v>
      </c>
    </row>
    <row r="342" spans="1:1" ht="16.5" customHeight="1">
      <c r="A342" s="2">
        <v>626</v>
      </c>
    </row>
    <row r="343" spans="1:1" ht="16.5" customHeight="1">
      <c r="A343" s="2">
        <v>627</v>
      </c>
    </row>
    <row r="344" spans="1:1" ht="16.5" customHeight="1">
      <c r="A344" s="2">
        <v>628</v>
      </c>
    </row>
    <row r="345" spans="1:1" ht="16.5" customHeight="1">
      <c r="A345" s="2">
        <v>629</v>
      </c>
    </row>
    <row r="346" spans="1:1" ht="16.5" customHeight="1">
      <c r="A346" s="2">
        <v>630</v>
      </c>
    </row>
    <row r="347" spans="1:1" ht="16.5" customHeight="1">
      <c r="A347" s="2">
        <v>631</v>
      </c>
    </row>
    <row r="348" spans="1:1" ht="16.5" customHeight="1">
      <c r="A348" s="2">
        <v>632</v>
      </c>
    </row>
    <row r="349" spans="1:1" ht="16.5" customHeight="1">
      <c r="A349" s="2">
        <v>633</v>
      </c>
    </row>
    <row r="350" spans="1:1" ht="16.5" customHeight="1">
      <c r="A350" s="2">
        <v>634</v>
      </c>
    </row>
    <row r="351" spans="1:1" ht="16.5" customHeight="1">
      <c r="A351" s="2">
        <v>635</v>
      </c>
    </row>
    <row r="352" spans="1:1" ht="16.5" customHeight="1">
      <c r="A352" s="2">
        <v>636</v>
      </c>
    </row>
    <row r="353" spans="1:1" ht="16.5" customHeight="1">
      <c r="A353" s="2">
        <v>637</v>
      </c>
    </row>
    <row r="354" spans="1:1" ht="16.5" customHeight="1">
      <c r="A354" s="2">
        <v>638</v>
      </c>
    </row>
    <row r="355" spans="1:1" ht="16.5" customHeight="1">
      <c r="A355" s="2">
        <v>639</v>
      </c>
    </row>
    <row r="356" spans="1:1" ht="16.5" customHeight="1">
      <c r="A356" s="2">
        <v>640</v>
      </c>
    </row>
    <row r="357" spans="1:1" ht="16.5" customHeight="1">
      <c r="A357" s="2">
        <v>641</v>
      </c>
    </row>
    <row r="358" spans="1:1" ht="16.5" customHeight="1">
      <c r="A358" s="2">
        <v>642</v>
      </c>
    </row>
    <row r="359" spans="1:1" ht="16.5" customHeight="1">
      <c r="A359" s="2">
        <v>643</v>
      </c>
    </row>
    <row r="360" spans="1:1" ht="16.5" customHeight="1">
      <c r="A360" s="2">
        <v>644</v>
      </c>
    </row>
    <row r="361" spans="1:1" ht="16.5" customHeight="1">
      <c r="A361" s="2">
        <v>645</v>
      </c>
    </row>
    <row r="362" spans="1:1" ht="16.5" customHeight="1">
      <c r="A362" s="2">
        <v>646</v>
      </c>
    </row>
    <row r="363" spans="1:1" ht="16.5" customHeight="1">
      <c r="A363" s="2">
        <v>647</v>
      </c>
    </row>
    <row r="364" spans="1:1" ht="16.5" customHeight="1">
      <c r="A364" s="2">
        <v>648</v>
      </c>
    </row>
    <row r="365" spans="1:1" ht="16.5" customHeight="1">
      <c r="A365" s="2">
        <v>649</v>
      </c>
    </row>
    <row r="366" spans="1:1" ht="16.5" customHeight="1">
      <c r="A366" s="2">
        <v>650</v>
      </c>
    </row>
    <row r="367" spans="1:1" ht="16.5" customHeight="1">
      <c r="A367" s="2">
        <v>651</v>
      </c>
    </row>
    <row r="368" spans="1:1" ht="16.5" customHeight="1">
      <c r="A368" s="2">
        <v>652</v>
      </c>
    </row>
    <row r="369" spans="1:1" ht="16.5" customHeight="1">
      <c r="A369" s="2">
        <v>653</v>
      </c>
    </row>
    <row r="370" spans="1:1" ht="16.5" customHeight="1">
      <c r="A370" s="2">
        <v>654</v>
      </c>
    </row>
    <row r="371" spans="1:1" ht="16.5" customHeight="1">
      <c r="A371" s="2">
        <v>655</v>
      </c>
    </row>
    <row r="372" spans="1:1" ht="16.5" customHeight="1">
      <c r="A372" s="2">
        <v>656</v>
      </c>
    </row>
    <row r="373" spans="1:1" ht="16.5" customHeight="1">
      <c r="A373" s="2">
        <v>657</v>
      </c>
    </row>
    <row r="374" spans="1:1" ht="16.5" customHeight="1">
      <c r="A374" s="2">
        <v>658</v>
      </c>
    </row>
    <row r="375" spans="1:1" ht="16.5" customHeight="1">
      <c r="A375" s="2">
        <v>659</v>
      </c>
    </row>
    <row r="376" spans="1:1" ht="16.5" customHeight="1">
      <c r="A376" s="2">
        <v>660</v>
      </c>
    </row>
    <row r="377" spans="1:1" ht="16.5" customHeight="1">
      <c r="A377" s="2">
        <v>661</v>
      </c>
    </row>
    <row r="378" spans="1:1" ht="16.5" customHeight="1">
      <c r="A378" s="2">
        <v>662</v>
      </c>
    </row>
    <row r="379" spans="1:1" ht="16.5" customHeight="1">
      <c r="A379" s="2">
        <v>663</v>
      </c>
    </row>
    <row r="380" spans="1:1" ht="16.5" customHeight="1">
      <c r="A380" s="2">
        <v>664</v>
      </c>
    </row>
    <row r="381" spans="1:1" ht="16.5" customHeight="1">
      <c r="A381" s="2">
        <v>665</v>
      </c>
    </row>
    <row r="382" spans="1:1" ht="16.5" customHeight="1">
      <c r="A382" s="2">
        <v>666</v>
      </c>
    </row>
    <row r="383" spans="1:1" ht="16.5" customHeight="1">
      <c r="A383" s="2">
        <v>667</v>
      </c>
    </row>
    <row r="384" spans="1:1" ht="16.5" customHeight="1">
      <c r="A384" s="2">
        <v>668</v>
      </c>
    </row>
    <row r="385" spans="1:1" ht="16.5" customHeight="1">
      <c r="A385" s="2">
        <v>669</v>
      </c>
    </row>
    <row r="386" spans="1:1" ht="16.5" customHeight="1">
      <c r="A386" s="2">
        <v>670</v>
      </c>
    </row>
    <row r="387" spans="1:1" ht="16.5" customHeight="1">
      <c r="A387" s="2">
        <v>671</v>
      </c>
    </row>
    <row r="388" spans="1:1" ht="16.5" customHeight="1">
      <c r="A388" s="2">
        <v>672</v>
      </c>
    </row>
    <row r="389" spans="1:1" ht="16.5" customHeight="1">
      <c r="A389" s="2">
        <v>673</v>
      </c>
    </row>
    <row r="390" spans="1:1" ht="16.5" customHeight="1">
      <c r="A390" s="2">
        <v>674</v>
      </c>
    </row>
    <row r="391" spans="1:1" ht="16.5" customHeight="1">
      <c r="A391" s="2">
        <v>675</v>
      </c>
    </row>
    <row r="392" spans="1:1" ht="16.5" customHeight="1">
      <c r="A392" s="2">
        <v>676</v>
      </c>
    </row>
    <row r="393" spans="1:1" ht="16.5" customHeight="1">
      <c r="A393" s="2">
        <v>677</v>
      </c>
    </row>
    <row r="394" spans="1:1" ht="16.5" customHeight="1">
      <c r="A394" s="2">
        <v>678</v>
      </c>
    </row>
    <row r="395" spans="1:1" ht="16.5" customHeight="1">
      <c r="A395" s="2">
        <v>679</v>
      </c>
    </row>
    <row r="396" spans="1:1" ht="16.5" customHeight="1">
      <c r="A396" s="2">
        <v>680</v>
      </c>
    </row>
    <row r="397" spans="1:1" ht="16.5" customHeight="1">
      <c r="A397" s="2">
        <v>681</v>
      </c>
    </row>
    <row r="398" spans="1:1" ht="16.5" customHeight="1">
      <c r="A398" s="2">
        <v>682</v>
      </c>
    </row>
    <row r="399" spans="1:1" ht="16.5" customHeight="1">
      <c r="A399" s="2">
        <v>683</v>
      </c>
    </row>
    <row r="400" spans="1:1" ht="16.5" customHeight="1">
      <c r="A400" s="2">
        <v>684</v>
      </c>
    </row>
    <row r="401" spans="1:1" ht="16.5" customHeight="1">
      <c r="A401" s="2">
        <v>685</v>
      </c>
    </row>
    <row r="402" spans="1:1" ht="16.5" customHeight="1">
      <c r="A402" s="2">
        <v>686</v>
      </c>
    </row>
    <row r="403" spans="1:1" ht="16.5" customHeight="1">
      <c r="A403" s="2">
        <v>687</v>
      </c>
    </row>
    <row r="404" spans="1:1" ht="16.5" customHeight="1">
      <c r="A404" s="2">
        <v>688</v>
      </c>
    </row>
    <row r="405" spans="1:1" ht="16.5" customHeight="1">
      <c r="A405" s="2">
        <v>689</v>
      </c>
    </row>
    <row r="406" spans="1:1" ht="16.5" customHeight="1">
      <c r="A406" s="2">
        <v>690</v>
      </c>
    </row>
    <row r="407" spans="1:1" ht="16.5" customHeight="1">
      <c r="A407" s="2">
        <v>691</v>
      </c>
    </row>
    <row r="408" spans="1:1" ht="16.5" customHeight="1">
      <c r="A408" s="2">
        <v>692</v>
      </c>
    </row>
    <row r="409" spans="1:1" ht="16.5" customHeight="1">
      <c r="A409" s="2">
        <v>693</v>
      </c>
    </row>
    <row r="410" spans="1:1" ht="16.5" customHeight="1">
      <c r="A410" s="2">
        <v>694</v>
      </c>
    </row>
    <row r="411" spans="1:1" ht="16.5" customHeight="1">
      <c r="A411" s="2">
        <v>695</v>
      </c>
    </row>
    <row r="412" spans="1:1" ht="16.5" customHeight="1">
      <c r="A412" s="2">
        <v>696</v>
      </c>
    </row>
    <row r="413" spans="1:1" ht="16.5" customHeight="1">
      <c r="A413" s="2">
        <v>697</v>
      </c>
    </row>
    <row r="414" spans="1:1" ht="16.5" customHeight="1">
      <c r="A414" s="2">
        <v>698</v>
      </c>
    </row>
    <row r="415" spans="1:1" ht="16.5" customHeight="1">
      <c r="A415" s="2">
        <v>699</v>
      </c>
    </row>
    <row r="416" spans="1:1" ht="16.5" customHeight="1">
      <c r="A416" s="2">
        <v>700</v>
      </c>
    </row>
    <row r="417" spans="1:1" ht="16.5" customHeight="1">
      <c r="A417" s="2">
        <v>701</v>
      </c>
    </row>
    <row r="418" spans="1:1" ht="16.5" customHeight="1">
      <c r="A418" s="2">
        <v>702</v>
      </c>
    </row>
    <row r="419" spans="1:1" ht="16.5" customHeight="1">
      <c r="A419" s="2">
        <v>703</v>
      </c>
    </row>
    <row r="420" spans="1:1" ht="16.5" customHeight="1">
      <c r="A420" s="2">
        <v>704</v>
      </c>
    </row>
    <row r="421" spans="1:1" ht="16.5" customHeight="1">
      <c r="A421" s="2">
        <v>705</v>
      </c>
    </row>
    <row r="422" spans="1:1" ht="16.5" customHeight="1">
      <c r="A422" s="2">
        <v>706</v>
      </c>
    </row>
    <row r="423" spans="1:1" ht="16.5" customHeight="1">
      <c r="A423" s="2">
        <v>707</v>
      </c>
    </row>
    <row r="424" spans="1:1" ht="16.5" customHeight="1">
      <c r="A424" s="2">
        <v>708</v>
      </c>
    </row>
    <row r="425" spans="1:1" ht="16.5" customHeight="1">
      <c r="A425" s="2">
        <v>709</v>
      </c>
    </row>
    <row r="426" spans="1:1" ht="16.5" customHeight="1">
      <c r="A426" s="2">
        <v>710</v>
      </c>
    </row>
    <row r="427" spans="1:1" ht="16.5" customHeight="1">
      <c r="A427" s="2">
        <v>711</v>
      </c>
    </row>
    <row r="428" spans="1:1" ht="16.5" customHeight="1">
      <c r="A428" s="2">
        <v>712</v>
      </c>
    </row>
    <row r="429" spans="1:1" ht="16.5" customHeight="1">
      <c r="A429" s="2">
        <v>713</v>
      </c>
    </row>
    <row r="430" spans="1:1" ht="16.5" customHeight="1">
      <c r="A430" s="2">
        <v>714</v>
      </c>
    </row>
    <row r="431" spans="1:1" ht="16.5" customHeight="1">
      <c r="A431" s="2">
        <v>715</v>
      </c>
    </row>
    <row r="432" spans="1:1" ht="16.5" customHeight="1">
      <c r="A432" s="2">
        <v>716</v>
      </c>
    </row>
    <row r="433" spans="1:1" ht="16.5" customHeight="1">
      <c r="A433" s="2">
        <v>717</v>
      </c>
    </row>
    <row r="434" spans="1:1" ht="16.5" customHeight="1">
      <c r="A434" s="2">
        <v>718</v>
      </c>
    </row>
    <row r="435" spans="1:1" ht="16.5" customHeight="1">
      <c r="A435" s="2">
        <v>719</v>
      </c>
    </row>
    <row r="436" spans="1:1" ht="16.5" customHeight="1">
      <c r="A436" s="2">
        <v>720</v>
      </c>
    </row>
    <row r="437" spans="1:1" ht="16.5" customHeight="1">
      <c r="A437" s="2">
        <v>721</v>
      </c>
    </row>
    <row r="438" spans="1:1" ht="16.5" customHeight="1">
      <c r="A438" s="2">
        <v>722</v>
      </c>
    </row>
    <row r="439" spans="1:1" ht="16.5" customHeight="1">
      <c r="A439" s="2">
        <v>723</v>
      </c>
    </row>
    <row r="440" spans="1:1" ht="16.5" customHeight="1">
      <c r="A440" s="2">
        <v>724</v>
      </c>
    </row>
    <row r="441" spans="1:1" ht="16.5" customHeight="1">
      <c r="A441" s="2">
        <v>725</v>
      </c>
    </row>
    <row r="442" spans="1:1" ht="16.5" customHeight="1">
      <c r="A442" s="2">
        <v>726</v>
      </c>
    </row>
    <row r="443" spans="1:1" ht="16.5" customHeight="1">
      <c r="A443" s="2">
        <v>727</v>
      </c>
    </row>
    <row r="444" spans="1:1" ht="16.5" customHeight="1">
      <c r="A444" s="2">
        <v>728</v>
      </c>
    </row>
    <row r="445" spans="1:1" ht="16.5" customHeight="1">
      <c r="A445" s="2">
        <v>729</v>
      </c>
    </row>
    <row r="446" spans="1:1" ht="16.5" customHeight="1">
      <c r="A446" s="2">
        <v>730</v>
      </c>
    </row>
    <row r="447" spans="1:1" ht="16.5" customHeight="1">
      <c r="A447" s="2">
        <v>731</v>
      </c>
    </row>
    <row r="448" spans="1:1" ht="16.5" customHeight="1">
      <c r="A448" s="2">
        <v>732</v>
      </c>
    </row>
    <row r="449" spans="1:1" ht="16.5" customHeight="1">
      <c r="A449" s="2">
        <v>733</v>
      </c>
    </row>
    <row r="450" spans="1:1" ht="16.5" customHeight="1">
      <c r="A450" s="2">
        <v>734</v>
      </c>
    </row>
    <row r="451" spans="1:1" ht="16.5" customHeight="1">
      <c r="A451" s="2">
        <v>735</v>
      </c>
    </row>
    <row r="452" spans="1:1" ht="16.5" customHeight="1">
      <c r="A452" s="2">
        <v>736</v>
      </c>
    </row>
    <row r="453" spans="1:1" ht="16.5" customHeight="1">
      <c r="A453" s="2">
        <v>737</v>
      </c>
    </row>
    <row r="454" spans="1:1" ht="16.5" customHeight="1">
      <c r="A454" s="2">
        <v>738</v>
      </c>
    </row>
    <row r="455" spans="1:1" ht="16.5" customHeight="1">
      <c r="A455" s="2">
        <v>739</v>
      </c>
    </row>
    <row r="456" spans="1:1" ht="16.5" customHeight="1">
      <c r="A456" s="2">
        <v>740</v>
      </c>
    </row>
    <row r="457" spans="1:1" ht="16.5" customHeight="1">
      <c r="A457" s="2">
        <v>741</v>
      </c>
    </row>
    <row r="458" spans="1:1" ht="16.5" customHeight="1">
      <c r="A458" s="2">
        <v>742</v>
      </c>
    </row>
    <row r="459" spans="1:1" ht="16.5" customHeight="1">
      <c r="A459" s="2">
        <v>743</v>
      </c>
    </row>
    <row r="460" spans="1:1" ht="16.5" customHeight="1">
      <c r="A460" s="2">
        <v>744</v>
      </c>
    </row>
    <row r="461" spans="1:1" ht="16.5" customHeight="1">
      <c r="A461" s="2">
        <v>745</v>
      </c>
    </row>
    <row r="462" spans="1:1" ht="16.5" customHeight="1">
      <c r="A462" s="2">
        <v>746</v>
      </c>
    </row>
    <row r="463" spans="1:1" ht="16.5" customHeight="1">
      <c r="A463" s="2">
        <v>747</v>
      </c>
    </row>
    <row r="464" spans="1:1" ht="16.5" customHeight="1">
      <c r="A464" s="2">
        <v>748</v>
      </c>
    </row>
    <row r="465" spans="1:1" ht="16.5" customHeight="1">
      <c r="A465" s="2">
        <v>749</v>
      </c>
    </row>
    <row r="466" spans="1:1" ht="16.5" customHeight="1">
      <c r="A466" s="2">
        <v>750</v>
      </c>
    </row>
    <row r="467" spans="1:1" ht="16.5" customHeight="1">
      <c r="A467" s="2">
        <v>751</v>
      </c>
    </row>
    <row r="468" spans="1:1" ht="16.5" customHeight="1">
      <c r="A468" s="2">
        <v>752</v>
      </c>
    </row>
    <row r="469" spans="1:1" ht="16.5" customHeight="1">
      <c r="A469" s="2">
        <v>753</v>
      </c>
    </row>
    <row r="470" spans="1:1" ht="16.5" customHeight="1">
      <c r="A470" s="2">
        <v>754</v>
      </c>
    </row>
    <row r="471" spans="1:1" ht="16.5" customHeight="1">
      <c r="A471" s="2">
        <v>755</v>
      </c>
    </row>
    <row r="472" spans="1:1" ht="16.5" customHeight="1">
      <c r="A472" s="2">
        <v>756</v>
      </c>
    </row>
    <row r="473" spans="1:1" ht="16.5" customHeight="1">
      <c r="A473" s="2">
        <v>757</v>
      </c>
    </row>
    <row r="474" spans="1:1" ht="16.5" customHeight="1">
      <c r="A474" s="2">
        <v>758</v>
      </c>
    </row>
    <row r="475" spans="1:1" ht="16.5" customHeight="1">
      <c r="A475" s="2">
        <v>759</v>
      </c>
    </row>
    <row r="476" spans="1:1" ht="16.5" customHeight="1">
      <c r="A476" s="2">
        <v>760</v>
      </c>
    </row>
    <row r="477" spans="1:1" ht="16.5" customHeight="1">
      <c r="A477" s="2">
        <v>761</v>
      </c>
    </row>
    <row r="478" spans="1:1" ht="16.5" customHeight="1">
      <c r="A478" s="2">
        <v>762</v>
      </c>
    </row>
    <row r="479" spans="1:1" ht="16.5" customHeight="1">
      <c r="A479" s="2">
        <v>763</v>
      </c>
    </row>
    <row r="480" spans="1:1" ht="16.5" customHeight="1">
      <c r="A480" s="2">
        <v>764</v>
      </c>
    </row>
    <row r="481" spans="1:1" ht="16.5" customHeight="1">
      <c r="A481" s="2">
        <v>765</v>
      </c>
    </row>
    <row r="482" spans="1:1" ht="16.5" customHeight="1">
      <c r="A482" s="2">
        <v>766</v>
      </c>
    </row>
    <row r="483" spans="1:1" ht="16.5" customHeight="1">
      <c r="A483" s="2">
        <v>767</v>
      </c>
    </row>
    <row r="484" spans="1:1" ht="16.5" customHeight="1">
      <c r="A484" s="2">
        <v>768</v>
      </c>
    </row>
    <row r="485" spans="1:1" ht="16.5" customHeight="1">
      <c r="A485" s="2">
        <v>769</v>
      </c>
    </row>
    <row r="486" spans="1:1" ht="16.5" customHeight="1">
      <c r="A486" s="2">
        <v>770</v>
      </c>
    </row>
    <row r="487" spans="1:1" ht="16.5" customHeight="1">
      <c r="A487" s="2">
        <v>771</v>
      </c>
    </row>
    <row r="488" spans="1:1" ht="16.5" customHeight="1">
      <c r="A488" s="2">
        <v>772</v>
      </c>
    </row>
    <row r="489" spans="1:1" ht="16.5" customHeight="1">
      <c r="A489" s="2">
        <v>773</v>
      </c>
    </row>
    <row r="490" spans="1:1" ht="16.5" customHeight="1">
      <c r="A490" s="2">
        <v>774</v>
      </c>
    </row>
    <row r="491" spans="1:1" ht="16.5" customHeight="1">
      <c r="A491" s="2">
        <v>775</v>
      </c>
    </row>
    <row r="492" spans="1:1" ht="16.5" customHeight="1">
      <c r="A492" s="2">
        <v>776</v>
      </c>
    </row>
    <row r="493" spans="1:1" ht="16.5" customHeight="1">
      <c r="A493" s="2">
        <v>777</v>
      </c>
    </row>
    <row r="494" spans="1:1" ht="16.5" customHeight="1">
      <c r="A494" s="2">
        <v>778</v>
      </c>
    </row>
    <row r="495" spans="1:1" ht="16.5" customHeight="1">
      <c r="A495" s="2">
        <v>779</v>
      </c>
    </row>
    <row r="496" spans="1:1" ht="16.5" customHeight="1">
      <c r="A496" s="2">
        <v>780</v>
      </c>
    </row>
    <row r="497" spans="1:1" ht="16.5" customHeight="1">
      <c r="A497" s="2">
        <v>781</v>
      </c>
    </row>
    <row r="498" spans="1:1" ht="16.5" customHeight="1">
      <c r="A498" s="2">
        <v>782</v>
      </c>
    </row>
    <row r="499" spans="1:1" ht="16.5" customHeight="1">
      <c r="A499" s="2">
        <v>783</v>
      </c>
    </row>
    <row r="500" spans="1:1" ht="16.5" customHeight="1">
      <c r="A500" s="2">
        <v>784</v>
      </c>
    </row>
    <row r="501" spans="1:1" ht="16.5" customHeight="1">
      <c r="A501" s="2">
        <v>785</v>
      </c>
    </row>
    <row r="502" spans="1:1" ht="16.5" customHeight="1">
      <c r="A502" s="2">
        <v>786</v>
      </c>
    </row>
    <row r="503" spans="1:1" ht="16.5" customHeight="1">
      <c r="A503" s="2">
        <v>787</v>
      </c>
    </row>
    <row r="504" spans="1:1" ht="16.5" customHeight="1">
      <c r="A504" s="2">
        <v>788</v>
      </c>
    </row>
    <row r="505" spans="1:1" ht="16.5" customHeight="1">
      <c r="A505" s="2">
        <v>789</v>
      </c>
    </row>
    <row r="506" spans="1:1" ht="16.5" customHeight="1">
      <c r="A506" s="2">
        <v>790</v>
      </c>
    </row>
    <row r="507" spans="1:1" ht="16.5" customHeight="1">
      <c r="A507" s="2">
        <v>791</v>
      </c>
    </row>
    <row r="508" spans="1:1" ht="16.5" customHeight="1">
      <c r="A508" s="2">
        <v>792</v>
      </c>
    </row>
    <row r="509" spans="1:1" ht="16.5" customHeight="1">
      <c r="A509" s="2">
        <v>793</v>
      </c>
    </row>
    <row r="510" spans="1:1" ht="16.5" customHeight="1">
      <c r="A510" s="2">
        <v>794</v>
      </c>
    </row>
    <row r="511" spans="1:1" ht="16.5" customHeight="1">
      <c r="A511" s="2">
        <v>795</v>
      </c>
    </row>
    <row r="512" spans="1:1" ht="16.5" customHeight="1">
      <c r="A512" s="2">
        <v>796</v>
      </c>
    </row>
    <row r="513" spans="1:1" ht="16.5" customHeight="1">
      <c r="A513" s="2">
        <v>797</v>
      </c>
    </row>
    <row r="514" spans="1:1" ht="16.5" customHeight="1">
      <c r="A514" s="2">
        <v>798</v>
      </c>
    </row>
    <row r="515" spans="1:1" ht="16.5" customHeight="1">
      <c r="A515" s="2">
        <v>799</v>
      </c>
    </row>
    <row r="516" spans="1:1" ht="16.5" customHeight="1">
      <c r="A516" s="2">
        <v>800</v>
      </c>
    </row>
    <row r="517" spans="1:1" ht="16.5" customHeight="1">
      <c r="A517" s="2">
        <v>801</v>
      </c>
    </row>
    <row r="518" spans="1:1" ht="16.5" customHeight="1">
      <c r="A518" s="2">
        <v>802</v>
      </c>
    </row>
    <row r="519" spans="1:1" ht="16.5" customHeight="1">
      <c r="A519" s="2">
        <v>803</v>
      </c>
    </row>
    <row r="520" spans="1:1" ht="16.5" customHeight="1">
      <c r="A520" s="2">
        <v>804</v>
      </c>
    </row>
    <row r="521" spans="1:1" ht="16.5" customHeight="1">
      <c r="A521" s="2">
        <v>805</v>
      </c>
    </row>
    <row r="522" spans="1:1" ht="16.5" customHeight="1">
      <c r="A522" s="2">
        <v>806</v>
      </c>
    </row>
    <row r="523" spans="1:1" ht="16.5" customHeight="1">
      <c r="A523" s="2">
        <v>807</v>
      </c>
    </row>
    <row r="524" spans="1:1" ht="16.5" customHeight="1">
      <c r="A524" s="2">
        <v>808</v>
      </c>
    </row>
    <row r="525" spans="1:1" ht="16.5" customHeight="1">
      <c r="A525" s="2">
        <v>809</v>
      </c>
    </row>
    <row r="526" spans="1:1" ht="16.5" customHeight="1">
      <c r="A526" s="2">
        <v>810</v>
      </c>
    </row>
    <row r="527" spans="1:1" ht="16.5" customHeight="1">
      <c r="A527" s="2">
        <v>811</v>
      </c>
    </row>
    <row r="528" spans="1:1" ht="16.5" customHeight="1">
      <c r="A528" s="2">
        <v>812</v>
      </c>
    </row>
    <row r="529" spans="1:1" ht="16.5" customHeight="1">
      <c r="A529" s="2">
        <v>813</v>
      </c>
    </row>
    <row r="530" spans="1:1" ht="16.5" customHeight="1">
      <c r="A530" s="2">
        <v>814</v>
      </c>
    </row>
    <row r="531" spans="1:1" ht="16.5" customHeight="1">
      <c r="A531" s="2">
        <v>815</v>
      </c>
    </row>
    <row r="532" spans="1:1" ht="16.5" customHeight="1">
      <c r="A532" s="2">
        <v>816</v>
      </c>
    </row>
    <row r="533" spans="1:1" ht="16.5" customHeight="1">
      <c r="A533" s="2">
        <v>817</v>
      </c>
    </row>
    <row r="534" spans="1:1" ht="16.5" customHeight="1">
      <c r="A534" s="2">
        <v>818</v>
      </c>
    </row>
    <row r="535" spans="1:1" ht="16.5" customHeight="1">
      <c r="A535" s="2">
        <v>819</v>
      </c>
    </row>
    <row r="536" spans="1:1" ht="16.5" customHeight="1">
      <c r="A536" s="2">
        <v>820</v>
      </c>
    </row>
    <row r="537" spans="1:1" ht="16.5" customHeight="1">
      <c r="A537" s="2">
        <v>821</v>
      </c>
    </row>
    <row r="538" spans="1:1" ht="16.5" customHeight="1">
      <c r="A538" s="2">
        <v>822</v>
      </c>
    </row>
    <row r="539" spans="1:1" ht="16.5" customHeight="1">
      <c r="A539" s="2">
        <v>823</v>
      </c>
    </row>
    <row r="540" spans="1:1" ht="16.5" customHeight="1">
      <c r="A540" s="2">
        <v>824</v>
      </c>
    </row>
    <row r="541" spans="1:1" ht="16.5" customHeight="1">
      <c r="A541" s="2">
        <v>825</v>
      </c>
    </row>
    <row r="542" spans="1:1" ht="16.5" customHeight="1">
      <c r="A542" s="2">
        <v>826</v>
      </c>
    </row>
    <row r="543" spans="1:1" ht="16.5" customHeight="1">
      <c r="A543" s="2">
        <v>827</v>
      </c>
    </row>
    <row r="544" spans="1:1" ht="16.5" customHeight="1">
      <c r="A544" s="2">
        <v>828</v>
      </c>
    </row>
    <row r="545" spans="1:1" ht="16.5" customHeight="1">
      <c r="A545" s="2">
        <v>829</v>
      </c>
    </row>
    <row r="546" spans="1:1" ht="16.5" customHeight="1">
      <c r="A546" s="2">
        <v>830</v>
      </c>
    </row>
    <row r="547" spans="1:1" ht="16.5" customHeight="1">
      <c r="A547" s="2">
        <v>831</v>
      </c>
    </row>
    <row r="548" spans="1:1" ht="16.5" customHeight="1">
      <c r="A548" s="2">
        <v>832</v>
      </c>
    </row>
    <row r="549" spans="1:1" ht="16.5" customHeight="1">
      <c r="A549" s="2">
        <v>833</v>
      </c>
    </row>
    <row r="550" spans="1:1" ht="16.5" customHeight="1">
      <c r="A550" s="2">
        <v>834</v>
      </c>
    </row>
    <row r="551" spans="1:1" ht="16.5" customHeight="1">
      <c r="A551" s="2">
        <v>835</v>
      </c>
    </row>
    <row r="552" spans="1:1" ht="16.5" customHeight="1">
      <c r="A552" s="2">
        <v>836</v>
      </c>
    </row>
    <row r="553" spans="1:1" ht="16.5" customHeight="1">
      <c r="A553" s="2">
        <v>837</v>
      </c>
    </row>
    <row r="554" spans="1:1" ht="16.5" customHeight="1">
      <c r="A554" s="2">
        <v>838</v>
      </c>
    </row>
    <row r="555" spans="1:1" ht="16.5" customHeight="1">
      <c r="A555" s="2">
        <v>839</v>
      </c>
    </row>
    <row r="556" spans="1:1" ht="16.5" customHeight="1">
      <c r="A556" s="2">
        <v>840</v>
      </c>
    </row>
    <row r="557" spans="1:1" ht="16.5" customHeight="1">
      <c r="A557" s="2">
        <v>841</v>
      </c>
    </row>
    <row r="558" spans="1:1" ht="16.5" customHeight="1">
      <c r="A558" s="2">
        <v>842</v>
      </c>
    </row>
    <row r="559" spans="1:1" ht="16.5" customHeight="1">
      <c r="A559" s="2">
        <v>843</v>
      </c>
    </row>
    <row r="560" spans="1:1" ht="16.5" customHeight="1">
      <c r="A560" s="2">
        <v>844</v>
      </c>
    </row>
    <row r="561" spans="1:1" ht="16.5" customHeight="1">
      <c r="A561" s="2">
        <v>845</v>
      </c>
    </row>
    <row r="562" spans="1:1" ht="16.5" customHeight="1">
      <c r="A562" s="2">
        <v>846</v>
      </c>
    </row>
    <row r="563" spans="1:1" ht="16.5" customHeight="1">
      <c r="A563" s="2">
        <v>847</v>
      </c>
    </row>
    <row r="564" spans="1:1" ht="16.5" customHeight="1">
      <c r="A564" s="2">
        <v>848</v>
      </c>
    </row>
    <row r="565" spans="1:1" ht="16.5" customHeight="1">
      <c r="A565" s="2">
        <v>849</v>
      </c>
    </row>
    <row r="566" spans="1:1" ht="16.5" customHeight="1">
      <c r="A566" s="2">
        <v>850</v>
      </c>
    </row>
    <row r="567" spans="1:1" ht="16.5" customHeight="1">
      <c r="A567" s="2">
        <v>851</v>
      </c>
    </row>
    <row r="568" spans="1:1" ht="16.5" customHeight="1">
      <c r="A568" s="2">
        <v>852</v>
      </c>
    </row>
    <row r="569" spans="1:1" ht="16.5" customHeight="1">
      <c r="A569" s="2">
        <v>853</v>
      </c>
    </row>
    <row r="570" spans="1:1" ht="16.5" customHeight="1">
      <c r="A570" s="2">
        <v>854</v>
      </c>
    </row>
    <row r="571" spans="1:1" ht="16.5" customHeight="1">
      <c r="A571" s="2">
        <v>855</v>
      </c>
    </row>
    <row r="572" spans="1:1" ht="16.5" customHeight="1">
      <c r="A572" s="2">
        <v>856</v>
      </c>
    </row>
    <row r="573" spans="1:1" ht="16.5" customHeight="1">
      <c r="A573" s="2">
        <v>857</v>
      </c>
    </row>
    <row r="574" spans="1:1" ht="16.5" customHeight="1">
      <c r="A574" s="2">
        <v>858</v>
      </c>
    </row>
    <row r="575" spans="1:1" ht="16.5" customHeight="1">
      <c r="A575" s="2">
        <v>859</v>
      </c>
    </row>
    <row r="576" spans="1:1" ht="16.5" customHeight="1">
      <c r="A576" s="2">
        <v>860</v>
      </c>
    </row>
    <row r="577" spans="1:1" ht="16.5" customHeight="1">
      <c r="A577" s="2">
        <v>861</v>
      </c>
    </row>
    <row r="578" spans="1:1" ht="16.5" customHeight="1">
      <c r="A578" s="2">
        <v>862</v>
      </c>
    </row>
    <row r="579" spans="1:1" ht="16.5" customHeight="1">
      <c r="A579" s="2">
        <v>863</v>
      </c>
    </row>
    <row r="580" spans="1:1" ht="16.5" customHeight="1">
      <c r="A580" s="2">
        <v>864</v>
      </c>
    </row>
    <row r="581" spans="1:1" ht="16.5" customHeight="1">
      <c r="A581" s="2">
        <v>865</v>
      </c>
    </row>
    <row r="582" spans="1:1" ht="16.5" customHeight="1">
      <c r="A582" s="2">
        <v>866</v>
      </c>
    </row>
    <row r="583" spans="1:1" ht="16.5" customHeight="1">
      <c r="A583" s="2">
        <v>867</v>
      </c>
    </row>
    <row r="584" spans="1:1" ht="16.5" customHeight="1">
      <c r="A584" s="2">
        <v>868</v>
      </c>
    </row>
    <row r="585" spans="1:1" ht="16.5" customHeight="1">
      <c r="A585" s="2">
        <v>869</v>
      </c>
    </row>
    <row r="586" spans="1:1" ht="16.5" customHeight="1">
      <c r="A586" s="2">
        <v>870</v>
      </c>
    </row>
    <row r="587" spans="1:1" ht="16.5" customHeight="1">
      <c r="A587" s="2">
        <v>871</v>
      </c>
    </row>
    <row r="588" spans="1:1" ht="16.5" customHeight="1">
      <c r="A588" s="2">
        <v>872</v>
      </c>
    </row>
    <row r="589" spans="1:1" ht="16.5" customHeight="1">
      <c r="A589" s="2">
        <v>873</v>
      </c>
    </row>
    <row r="590" spans="1:1" ht="16.5" customHeight="1">
      <c r="A590" s="2">
        <v>874</v>
      </c>
    </row>
    <row r="591" spans="1:1" ht="16.5" customHeight="1">
      <c r="A591" s="2">
        <v>875</v>
      </c>
    </row>
    <row r="592" spans="1:1" ht="16.5" customHeight="1">
      <c r="A592" s="2">
        <v>876</v>
      </c>
    </row>
    <row r="593" spans="1:1" ht="16.5" customHeight="1">
      <c r="A593" s="2">
        <v>877</v>
      </c>
    </row>
    <row r="594" spans="1:1" ht="16.5" customHeight="1">
      <c r="A594" s="2">
        <v>878</v>
      </c>
    </row>
    <row r="595" spans="1:1" ht="16.5" customHeight="1">
      <c r="A595" s="2">
        <v>879</v>
      </c>
    </row>
    <row r="596" spans="1:1" ht="16.5" customHeight="1">
      <c r="A596" s="2">
        <v>880</v>
      </c>
    </row>
    <row r="597" spans="1:1" ht="16.5" customHeight="1">
      <c r="A597" s="2">
        <v>881</v>
      </c>
    </row>
    <row r="598" spans="1:1" ht="16.5" customHeight="1">
      <c r="A598" s="2">
        <v>882</v>
      </c>
    </row>
    <row r="599" spans="1:1" ht="16.5" customHeight="1">
      <c r="A599" s="2">
        <v>883</v>
      </c>
    </row>
    <row r="600" spans="1:1" ht="16.5" customHeight="1">
      <c r="A600" s="2">
        <v>884</v>
      </c>
    </row>
    <row r="601" spans="1:1" ht="16.5" customHeight="1">
      <c r="A601" s="2">
        <v>885</v>
      </c>
    </row>
    <row r="602" spans="1:1" ht="16.5" customHeight="1">
      <c r="A602" s="2">
        <v>886</v>
      </c>
    </row>
    <row r="603" spans="1:1" ht="16.5" customHeight="1">
      <c r="A603" s="2">
        <v>887</v>
      </c>
    </row>
    <row r="604" spans="1:1" ht="16.5" customHeight="1">
      <c r="A604" s="2">
        <v>888</v>
      </c>
    </row>
    <row r="605" spans="1:1" ht="16.5" customHeight="1">
      <c r="A605" s="2">
        <v>889</v>
      </c>
    </row>
    <row r="606" spans="1:1" ht="16.5" customHeight="1">
      <c r="A606" s="2">
        <v>890</v>
      </c>
    </row>
    <row r="607" spans="1:1" ht="16.5" customHeight="1">
      <c r="A607" s="2">
        <v>891</v>
      </c>
    </row>
    <row r="608" spans="1:1" ht="16.5" customHeight="1">
      <c r="A608" s="2">
        <v>892</v>
      </c>
    </row>
    <row r="609" spans="1:1" ht="16.5" customHeight="1">
      <c r="A609" s="2">
        <v>893</v>
      </c>
    </row>
    <row r="610" spans="1:1" ht="16.5" customHeight="1">
      <c r="A610" s="2">
        <v>894</v>
      </c>
    </row>
    <row r="611" spans="1:1" ht="16.5" customHeight="1">
      <c r="A611" s="2">
        <v>895</v>
      </c>
    </row>
    <row r="612" spans="1:1" ht="16.5" customHeight="1">
      <c r="A612" s="2">
        <v>896</v>
      </c>
    </row>
    <row r="613" spans="1:1" ht="16.5" customHeight="1">
      <c r="A613" s="2">
        <v>897</v>
      </c>
    </row>
    <row r="614" spans="1:1" ht="16.5" customHeight="1">
      <c r="A614" s="2">
        <v>898</v>
      </c>
    </row>
    <row r="615" spans="1:1" ht="16.5" customHeight="1">
      <c r="A615" s="2">
        <v>899</v>
      </c>
    </row>
    <row r="616" spans="1:1" ht="16.5" customHeight="1">
      <c r="A616" s="2">
        <v>900</v>
      </c>
    </row>
    <row r="617" spans="1:1" ht="16.5" customHeight="1">
      <c r="A617" s="2">
        <v>901</v>
      </c>
    </row>
    <row r="618" spans="1:1" ht="16.5" customHeight="1">
      <c r="A618" s="2">
        <v>902</v>
      </c>
    </row>
    <row r="619" spans="1:1" ht="16.5" customHeight="1">
      <c r="A619" s="2">
        <v>903</v>
      </c>
    </row>
    <row r="620" spans="1:1" ht="16.5" customHeight="1">
      <c r="A620" s="2">
        <v>904</v>
      </c>
    </row>
    <row r="621" spans="1:1" ht="16.5" customHeight="1">
      <c r="A621" s="2">
        <v>905</v>
      </c>
    </row>
    <row r="622" spans="1:1" ht="16.5" customHeight="1">
      <c r="A622" s="2">
        <v>906</v>
      </c>
    </row>
    <row r="623" spans="1:1" ht="16.5" customHeight="1">
      <c r="A623" s="2">
        <v>907</v>
      </c>
    </row>
    <row r="624" spans="1:1" ht="16.5" customHeight="1">
      <c r="A624" s="2">
        <v>908</v>
      </c>
    </row>
    <row r="625" spans="1:1" ht="16.5" customHeight="1">
      <c r="A625" s="2">
        <v>909</v>
      </c>
    </row>
    <row r="626" spans="1:1" ht="16.5" customHeight="1">
      <c r="A626" s="2">
        <v>910</v>
      </c>
    </row>
    <row r="627" spans="1:1" ht="16.5" customHeight="1">
      <c r="A627" s="2">
        <v>911</v>
      </c>
    </row>
    <row r="628" spans="1:1" ht="16.5" customHeight="1">
      <c r="A628" s="2">
        <v>912</v>
      </c>
    </row>
    <row r="629" spans="1:1" ht="16.5" customHeight="1">
      <c r="A629" s="2">
        <v>913</v>
      </c>
    </row>
    <row r="630" spans="1:1" ht="16.5" customHeight="1">
      <c r="A630" s="2">
        <v>914</v>
      </c>
    </row>
    <row r="631" spans="1:1" ht="16.5" customHeight="1">
      <c r="A631" s="2">
        <v>915</v>
      </c>
    </row>
    <row r="632" spans="1:1" ht="16.5" customHeight="1">
      <c r="A632" s="2">
        <v>916</v>
      </c>
    </row>
    <row r="633" spans="1:1" ht="16.5" customHeight="1">
      <c r="A633" s="2">
        <v>917</v>
      </c>
    </row>
    <row r="634" spans="1:1" ht="16.5" customHeight="1">
      <c r="A634" s="2">
        <v>918</v>
      </c>
    </row>
    <row r="635" spans="1:1" ht="16.5" customHeight="1">
      <c r="A635" s="2">
        <v>919</v>
      </c>
    </row>
    <row r="636" spans="1:1" ht="16.5" customHeight="1">
      <c r="A636" s="2">
        <v>920</v>
      </c>
    </row>
    <row r="637" spans="1:1" ht="16.5" customHeight="1">
      <c r="A637" s="2">
        <v>921</v>
      </c>
    </row>
    <row r="638" spans="1:1" ht="16.5" customHeight="1">
      <c r="A638" s="2">
        <v>922</v>
      </c>
    </row>
    <row r="639" spans="1:1" ht="16.5" customHeight="1">
      <c r="A639" s="2">
        <v>923</v>
      </c>
    </row>
    <row r="640" spans="1:1" ht="16.5" customHeight="1">
      <c r="A640" s="2">
        <v>924</v>
      </c>
    </row>
    <row r="641" spans="1:1" ht="16.5" customHeight="1">
      <c r="A641" s="2">
        <v>925</v>
      </c>
    </row>
    <row r="642" spans="1:1" ht="16.5" customHeight="1">
      <c r="A642" s="2">
        <v>926</v>
      </c>
    </row>
    <row r="643" spans="1:1" ht="16.5" customHeight="1">
      <c r="A643" s="2">
        <v>927</v>
      </c>
    </row>
    <row r="644" spans="1:1" ht="16.5" customHeight="1">
      <c r="A644" s="2">
        <v>928</v>
      </c>
    </row>
    <row r="645" spans="1:1" ht="16.5" customHeight="1">
      <c r="A645" s="2">
        <v>929</v>
      </c>
    </row>
    <row r="646" spans="1:1" ht="16.5" customHeight="1">
      <c r="A646" s="2">
        <v>930</v>
      </c>
    </row>
    <row r="647" spans="1:1" ht="16.5" customHeight="1">
      <c r="A647" s="2">
        <v>931</v>
      </c>
    </row>
    <row r="648" spans="1:1" ht="16.5" customHeight="1">
      <c r="A648" s="2">
        <v>932</v>
      </c>
    </row>
    <row r="649" spans="1:1" ht="16.5" customHeight="1">
      <c r="A649" s="2">
        <v>933</v>
      </c>
    </row>
    <row r="650" spans="1:1" ht="16.5" customHeight="1">
      <c r="A650" s="2">
        <v>934</v>
      </c>
    </row>
    <row r="651" spans="1:1" ht="16.5" customHeight="1">
      <c r="A651" s="2">
        <v>935</v>
      </c>
    </row>
    <row r="652" spans="1:1" ht="16.5" customHeight="1">
      <c r="A652" s="2">
        <v>936</v>
      </c>
    </row>
    <row r="653" spans="1:1" ht="16.5" customHeight="1">
      <c r="A653" s="2">
        <v>937</v>
      </c>
    </row>
    <row r="654" spans="1:1" ht="16.5" customHeight="1">
      <c r="A654" s="2">
        <v>938</v>
      </c>
    </row>
    <row r="655" spans="1:1" ht="16.5" customHeight="1">
      <c r="A655" s="2">
        <v>939</v>
      </c>
    </row>
    <row r="656" spans="1:1" ht="16.5" customHeight="1">
      <c r="A656" s="2">
        <v>940</v>
      </c>
    </row>
    <row r="657" spans="1:1" ht="16.5" customHeight="1">
      <c r="A657" s="2">
        <v>941</v>
      </c>
    </row>
    <row r="658" spans="1:1" ht="16.5" customHeight="1">
      <c r="A658" s="2">
        <v>942</v>
      </c>
    </row>
    <row r="659" spans="1:1" ht="16.5" customHeight="1">
      <c r="A659" s="2">
        <v>943</v>
      </c>
    </row>
    <row r="660" spans="1:1" ht="16.5" customHeight="1">
      <c r="A660" s="2">
        <v>944</v>
      </c>
    </row>
    <row r="661" spans="1:1" ht="16.5" customHeight="1">
      <c r="A661" s="2">
        <v>945</v>
      </c>
    </row>
    <row r="662" spans="1:1" ht="16.5" customHeight="1">
      <c r="A662" s="2">
        <v>946</v>
      </c>
    </row>
    <row r="663" spans="1:1" ht="16.5" customHeight="1">
      <c r="A663" s="2">
        <v>947</v>
      </c>
    </row>
    <row r="664" spans="1:1" ht="16.5" customHeight="1">
      <c r="A664" s="2">
        <v>948</v>
      </c>
    </row>
    <row r="665" spans="1:1" ht="16.5" customHeight="1">
      <c r="A665" s="2">
        <v>949</v>
      </c>
    </row>
    <row r="666" spans="1:1" ht="16.5" customHeight="1">
      <c r="A666" s="2">
        <v>950</v>
      </c>
    </row>
    <row r="667" spans="1:1" ht="16.5" customHeight="1">
      <c r="A667" s="2">
        <v>951</v>
      </c>
    </row>
    <row r="668" spans="1:1" ht="16.5" customHeight="1">
      <c r="A668" s="2">
        <v>952</v>
      </c>
    </row>
    <row r="669" spans="1:1" ht="16.5" customHeight="1">
      <c r="A669" s="2">
        <v>953</v>
      </c>
    </row>
    <row r="670" spans="1:1" ht="16.5" customHeight="1">
      <c r="A670" s="2">
        <v>954</v>
      </c>
    </row>
    <row r="671" spans="1:1" ht="16.5" customHeight="1">
      <c r="A671" s="2">
        <v>955</v>
      </c>
    </row>
    <row r="672" spans="1:1" ht="16.5" customHeight="1">
      <c r="A672" s="2">
        <v>956</v>
      </c>
    </row>
    <row r="673" spans="1:1" ht="16.5" customHeight="1">
      <c r="A673" s="2">
        <v>957</v>
      </c>
    </row>
    <row r="674" spans="1:1" ht="16.5" customHeight="1">
      <c r="A674" s="2">
        <v>958</v>
      </c>
    </row>
    <row r="675" spans="1:1" ht="16.5" customHeight="1">
      <c r="A675" s="2">
        <v>959</v>
      </c>
    </row>
    <row r="676" spans="1:1" ht="16.5" customHeight="1">
      <c r="A676" s="2">
        <v>960</v>
      </c>
    </row>
    <row r="677" spans="1:1" ht="16.5" customHeight="1">
      <c r="A677" s="2">
        <v>961</v>
      </c>
    </row>
    <row r="678" spans="1:1" ht="16.5" customHeight="1">
      <c r="A678" s="2">
        <v>962</v>
      </c>
    </row>
    <row r="679" spans="1:1" ht="16.5" customHeight="1">
      <c r="A679" s="2">
        <v>963</v>
      </c>
    </row>
    <row r="680" spans="1:1" ht="16.5" customHeight="1">
      <c r="A680" s="2">
        <v>964</v>
      </c>
    </row>
    <row r="681" spans="1:1" ht="16.5" customHeight="1">
      <c r="A681" s="2">
        <v>965</v>
      </c>
    </row>
    <row r="682" spans="1:1" ht="16.5" customHeight="1">
      <c r="A682" s="2">
        <v>966</v>
      </c>
    </row>
    <row r="683" spans="1:1" ht="16.5" customHeight="1">
      <c r="A683" s="2">
        <v>967</v>
      </c>
    </row>
    <row r="684" spans="1:1" ht="16.5" customHeight="1">
      <c r="A684" s="2">
        <v>968</v>
      </c>
    </row>
    <row r="685" spans="1:1" ht="16.5" customHeight="1">
      <c r="A685" s="2">
        <v>969</v>
      </c>
    </row>
    <row r="686" spans="1:1" ht="16.5" customHeight="1">
      <c r="A686" s="2">
        <v>970</v>
      </c>
    </row>
    <row r="687" spans="1:1" ht="16.5" customHeight="1">
      <c r="A687" s="2">
        <v>971</v>
      </c>
    </row>
    <row r="688" spans="1:1" ht="16.5" customHeight="1">
      <c r="A688" s="2">
        <v>972</v>
      </c>
    </row>
    <row r="689" spans="1:1" ht="16.5" customHeight="1">
      <c r="A689" s="2">
        <v>973</v>
      </c>
    </row>
    <row r="690" spans="1:1" ht="16.5" customHeight="1">
      <c r="A690" s="2">
        <v>974</v>
      </c>
    </row>
    <row r="691" spans="1:1" ht="16.5" customHeight="1">
      <c r="A691" s="2">
        <v>975</v>
      </c>
    </row>
    <row r="692" spans="1:1" ht="16.5" customHeight="1">
      <c r="A692" s="2">
        <v>976</v>
      </c>
    </row>
    <row r="693" spans="1:1" ht="16.5" customHeight="1">
      <c r="A693" s="2">
        <v>977</v>
      </c>
    </row>
    <row r="694" spans="1:1" ht="16.5" customHeight="1">
      <c r="A694" s="2">
        <v>978</v>
      </c>
    </row>
    <row r="695" spans="1:1" ht="16.5" customHeight="1">
      <c r="A695" s="2">
        <v>979</v>
      </c>
    </row>
    <row r="696" spans="1:1" ht="16.5" customHeight="1">
      <c r="A696" s="2">
        <v>980</v>
      </c>
    </row>
    <row r="697" spans="1:1" ht="16.5" customHeight="1">
      <c r="A697" s="2">
        <v>981</v>
      </c>
    </row>
    <row r="698" spans="1:1" ht="16.5" customHeight="1">
      <c r="A698" s="2">
        <v>982</v>
      </c>
    </row>
    <row r="699" spans="1:1" ht="16.5" customHeight="1">
      <c r="A699" s="2">
        <v>983</v>
      </c>
    </row>
    <row r="700" spans="1:1" ht="16.5" customHeight="1">
      <c r="A700" s="2">
        <v>984</v>
      </c>
    </row>
    <row r="701" spans="1:1" ht="16.5" customHeight="1">
      <c r="A701" s="2">
        <v>985</v>
      </c>
    </row>
    <row r="702" spans="1:1" ht="16.5" customHeight="1">
      <c r="A702" s="2">
        <v>986</v>
      </c>
    </row>
    <row r="703" spans="1:1" ht="16.5" customHeight="1">
      <c r="A703" s="2">
        <v>987</v>
      </c>
    </row>
    <row r="704" spans="1:1" ht="16.5" customHeight="1">
      <c r="A704" s="2">
        <v>988</v>
      </c>
    </row>
    <row r="705" spans="1:1" ht="16.5" customHeight="1">
      <c r="A705" s="2">
        <v>989</v>
      </c>
    </row>
    <row r="706" spans="1:1" ht="16.5" customHeight="1">
      <c r="A706" s="2">
        <v>990</v>
      </c>
    </row>
    <row r="707" spans="1:1" ht="16.5" customHeight="1">
      <c r="A707" s="2">
        <v>991</v>
      </c>
    </row>
    <row r="708" spans="1:1" ht="16.5" customHeight="1">
      <c r="A708" s="2">
        <v>992</v>
      </c>
    </row>
    <row r="709" spans="1:1" ht="16.5" customHeight="1">
      <c r="A709" s="2">
        <v>993</v>
      </c>
    </row>
    <row r="710" spans="1:1" ht="16.5" customHeight="1">
      <c r="A710" s="2">
        <v>994</v>
      </c>
    </row>
    <row r="711" spans="1:1" ht="16.5" customHeight="1">
      <c r="A711" s="2">
        <v>995</v>
      </c>
    </row>
    <row r="712" spans="1:1" ht="16.5" customHeight="1">
      <c r="A712" s="2">
        <v>996</v>
      </c>
    </row>
    <row r="713" spans="1:1" ht="16.5" customHeight="1">
      <c r="A713" s="2">
        <v>997</v>
      </c>
    </row>
    <row r="714" spans="1:1" ht="16.5" customHeight="1">
      <c r="A714" s="2">
        <v>998</v>
      </c>
    </row>
    <row r="715" spans="1:1" ht="16.5" customHeight="1">
      <c r="A715" s="2">
        <v>999</v>
      </c>
    </row>
    <row r="716" spans="1:1" ht="16.5" customHeight="1">
      <c r="A716" s="2">
        <v>1000</v>
      </c>
    </row>
    <row r="717" spans="1:1" ht="16.5" customHeight="1">
      <c r="A717" s="2">
        <v>1001</v>
      </c>
    </row>
    <row r="718" spans="1:1" ht="16.5" customHeight="1">
      <c r="A718" s="2">
        <v>1002</v>
      </c>
    </row>
    <row r="719" spans="1:1" ht="16.5" customHeight="1">
      <c r="A719" s="2">
        <v>1003</v>
      </c>
    </row>
    <row r="720" spans="1:1" ht="16.5" customHeight="1">
      <c r="A720" s="2">
        <v>1004</v>
      </c>
    </row>
    <row r="721" spans="1:1" ht="16.5" customHeight="1">
      <c r="A721" s="2">
        <v>1005</v>
      </c>
    </row>
    <row r="722" spans="1:1" ht="16.5" customHeight="1">
      <c r="A722" s="2">
        <v>1006</v>
      </c>
    </row>
    <row r="723" spans="1:1" ht="16.5" customHeight="1">
      <c r="A723" s="2">
        <v>1007</v>
      </c>
    </row>
    <row r="724" spans="1:1" ht="16.5" customHeight="1">
      <c r="A724" s="2">
        <v>1008</v>
      </c>
    </row>
    <row r="725" spans="1:1" ht="16.5" customHeight="1">
      <c r="A725" s="2">
        <v>1009</v>
      </c>
    </row>
    <row r="726" spans="1:1" ht="16.5" customHeight="1">
      <c r="A726" s="2">
        <v>1010</v>
      </c>
    </row>
    <row r="727" spans="1:1" ht="16.5" customHeight="1">
      <c r="A727" s="2">
        <v>1011</v>
      </c>
    </row>
    <row r="728" spans="1:1" ht="16.5" customHeight="1">
      <c r="A728" s="2">
        <v>1012</v>
      </c>
    </row>
    <row r="729" spans="1:1" ht="16.5" customHeight="1">
      <c r="A729" s="2">
        <v>1013</v>
      </c>
    </row>
  </sheetData>
  <autoFilter ref="A2:AM729" xr:uid="{00000000-0001-0000-0000-000000000000}"/>
  <mergeCells count="3">
    <mergeCell ref="AL1:AM1"/>
    <mergeCell ref="A1:A2"/>
    <mergeCell ref="D1:I1"/>
  </mergeCells>
  <phoneticPr fontId="4" type="noConversion"/>
  <dataValidations count="13">
    <dataValidation type="list" allowBlank="1" showInputMessage="1" showErrorMessage="1" sqref="S3:S19" xr:uid="{3C8D210F-3DC5-455E-A58F-5AAF50842816}">
      <formula1>"개인,법인"</formula1>
    </dataValidation>
    <dataValidation type="list" allowBlank="1" showInputMessage="1" showErrorMessage="1" sqref="S3:S19 K3:K19 AL3:AL19 U3:V19" xr:uid="{700CF22E-5D8B-4BE8-B753-DB0B03265524}">
      <formula1>"O,X"</formula1>
    </dataValidation>
    <dataValidation type="list" allowBlank="1" showInputMessage="1" showErrorMessage="1" sqref="T3:T19" xr:uid="{F87C7E70-50A4-4D3B-9349-2852D9BA00D7}">
      <formula1>"현금,임직원,캐피탈,자체할부"</formula1>
    </dataValidation>
    <dataValidation allowBlank="1" showInputMessage="1" showErrorMessage="1" sqref="X2:AA2 AC2:AD2 P1:R1 Q2:V2 AB2:AB1048576 W2:W1048576 AE2:AK1048576 X3:Z1048576" xr:uid="{4C8C95C2-C2BC-494D-9553-75B371A69FB5}"/>
    <dataValidation type="list" allowBlank="1" showInputMessage="1" showErrorMessage="1" sqref="AC3 AD4 AC5:AC1048576" xr:uid="{9FCEE0FB-AD9F-43AD-9422-4F6A35B9B0BD}">
      <formula1>"저상,표준,고상"</formula1>
    </dataValidation>
    <dataValidation type="list" allowBlank="1" showInputMessage="1" showErrorMessage="1" sqref="AA3:AA1048576" xr:uid="{D21AADC3-7FFB-4AC7-8DAF-DAEC01C4CA75}">
      <formula1>"스테고Z(구독),스테고K,중고차,기타"</formula1>
    </dataValidation>
    <dataValidation type="list" allowBlank="1" showInputMessage="1" showErrorMessage="1" sqref="AD3:AD1048576" xr:uid="{31D1C64C-4ECE-480C-A30A-6F2B127882BE}">
      <formula1>"상온,냉동"</formula1>
    </dataValidation>
    <dataValidation type="list" allowBlank="1" showInputMessage="1" showErrorMessage="1" sqref="B1:B2" xr:uid="{51315868-D48D-4405-B816-D32EF5BF5DEA}">
      <formula1>"1.리드,2.전화상담,3.대면상담,4.정식계약,5.판매"</formula1>
    </dataValidation>
    <dataValidation type="list" allowBlank="1" showInputMessage="1" showErrorMessage="1" sqref="L2:L1048576" xr:uid="{9D176F35-FE35-9F4D-B97F-24499A5FE840}">
      <formula1>"O,X,모름"</formula1>
    </dataValidation>
    <dataValidation type="list" allowBlank="1" showInputMessage="1" showErrorMessage="1" sqref="D1:D1048576" xr:uid="{374C00AF-E485-C045-9CDA-28A85FFDD68D}">
      <formula1>"리드(오프라인),리드(온라인),리드(기타)"</formula1>
    </dataValidation>
    <dataValidation type="list" allowBlank="1" showInputMessage="1" showErrorMessage="1" sqref="C1:C1048576" xr:uid="{28D9F3FE-F62C-4E49-809C-6C4C1CA64B5B}">
      <formula1>"진행 중, 종결, 성공"</formula1>
    </dataValidation>
    <dataValidation type="list" allowBlank="1" showInputMessage="1" showErrorMessage="1" sqref="E1:E1048576" xr:uid="{E5EA083E-22D2-41D1-AA77-11B838B1FA90}">
      <formula1>"개인(슈마허),유튜브,로드쇼(R조),로드쇼(X조),로드쇼(A조),로드쇼(H조),기타"</formula1>
    </dataValidation>
    <dataValidation type="list" allowBlank="1" showInputMessage="1" showErrorMessage="1" sqref="B3:B1048576" xr:uid="{B14FC7ED-BF31-409B-8908-369D0F1BAD52}">
      <formula1>"1.리드,1.성숙리드,2.전화상담,3.대면상담,4.정식계약,5.판매"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D6A7-41AB-4B13-9EB2-5CBD09566890}">
  <dimension ref="A1:BD999"/>
  <sheetViews>
    <sheetView zoomScaleNormal="100" workbookViewId="0">
      <pane xSplit="3" topLeftCell="D1" activePane="topRight" state="frozen"/>
      <selection pane="topRight" activeCell="E36" sqref="E36"/>
    </sheetView>
  </sheetViews>
  <sheetFormatPr defaultColWidth="8.83203125" defaultRowHeight="16.5" customHeight="1"/>
  <cols>
    <col min="1" max="1" width="14" style="49" customWidth="1"/>
    <col min="2" max="2" width="23.5" customWidth="1"/>
    <col min="3" max="3" width="17.33203125" hidden="1" customWidth="1"/>
    <col min="4" max="4" width="17.33203125" customWidth="1"/>
    <col min="5" max="56" width="13.58203125" customWidth="1"/>
  </cols>
  <sheetData>
    <row r="1" spans="1:56" ht="17">
      <c r="A1" s="46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6" s="49" customFormat="1" ht="17">
      <c r="A2" s="46"/>
      <c r="B2" s="46"/>
      <c r="C2" s="46"/>
      <c r="D2" s="46"/>
      <c r="E2" s="52" t="s">
        <v>183</v>
      </c>
      <c r="F2" s="141" t="s">
        <v>184</v>
      </c>
      <c r="G2" s="141"/>
      <c r="H2" s="141"/>
      <c r="I2" s="141"/>
      <c r="J2" s="142" t="s">
        <v>185</v>
      </c>
      <c r="K2" s="142"/>
      <c r="L2" s="142"/>
      <c r="M2" s="142"/>
      <c r="N2" s="142"/>
      <c r="O2" s="143" t="s">
        <v>186</v>
      </c>
      <c r="P2" s="143"/>
      <c r="Q2" s="143"/>
      <c r="R2" s="143"/>
      <c r="S2" s="144" t="s">
        <v>187</v>
      </c>
      <c r="T2" s="144"/>
      <c r="U2" s="144"/>
      <c r="V2" s="144"/>
      <c r="W2" s="145" t="s">
        <v>188</v>
      </c>
      <c r="X2" s="145"/>
      <c r="Y2" s="145"/>
      <c r="Z2" s="145"/>
      <c r="AA2" s="145"/>
      <c r="AB2" s="146" t="s">
        <v>189</v>
      </c>
      <c r="AC2" s="146"/>
      <c r="AD2" s="146"/>
      <c r="AE2" s="146"/>
      <c r="AF2" s="147" t="s">
        <v>190</v>
      </c>
      <c r="AG2" s="147"/>
      <c r="AH2" s="147"/>
      <c r="AI2" s="147"/>
      <c r="AJ2" s="147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</row>
    <row r="3" spans="1:56" s="49" customFormat="1" ht="17">
      <c r="A3" s="46"/>
      <c r="B3" s="46"/>
      <c r="C3" s="46"/>
      <c r="D3" s="46"/>
      <c r="E3" s="52" t="s">
        <v>191</v>
      </c>
      <c r="F3" s="53" t="s">
        <v>192</v>
      </c>
      <c r="G3" s="53" t="s">
        <v>193</v>
      </c>
      <c r="H3" s="53" t="s">
        <v>194</v>
      </c>
      <c r="I3" s="53" t="s">
        <v>195</v>
      </c>
      <c r="J3" s="57" t="s">
        <v>196</v>
      </c>
      <c r="K3" s="54" t="s">
        <v>197</v>
      </c>
      <c r="L3" s="54" t="s">
        <v>198</v>
      </c>
      <c r="M3" s="54" t="s">
        <v>199</v>
      </c>
      <c r="N3" s="54" t="s">
        <v>200</v>
      </c>
      <c r="O3" s="55" t="s">
        <v>201</v>
      </c>
      <c r="P3" s="55" t="s">
        <v>202</v>
      </c>
      <c r="Q3" s="55" t="s">
        <v>203</v>
      </c>
      <c r="R3" s="55" t="s">
        <v>204</v>
      </c>
      <c r="S3" s="58" t="s">
        <v>205</v>
      </c>
      <c r="T3" s="58" t="s">
        <v>206</v>
      </c>
      <c r="U3" s="58" t="s">
        <v>207</v>
      </c>
      <c r="V3" s="58" t="s">
        <v>208</v>
      </c>
      <c r="W3" s="59" t="s">
        <v>209</v>
      </c>
      <c r="X3" s="59" t="s">
        <v>210</v>
      </c>
      <c r="Y3" s="59" t="s">
        <v>211</v>
      </c>
      <c r="Z3" s="59" t="s">
        <v>212</v>
      </c>
      <c r="AA3" s="59" t="s">
        <v>213</v>
      </c>
      <c r="AB3" s="60" t="s">
        <v>214</v>
      </c>
      <c r="AC3" s="60" t="s">
        <v>215</v>
      </c>
      <c r="AD3" s="60" t="s">
        <v>216</v>
      </c>
      <c r="AE3" s="60" t="s">
        <v>217</v>
      </c>
      <c r="AF3" s="61" t="s">
        <v>218</v>
      </c>
      <c r="AG3" s="61" t="s">
        <v>219</v>
      </c>
      <c r="AH3" s="61" t="s">
        <v>220</v>
      </c>
      <c r="AI3" s="61" t="s">
        <v>221</v>
      </c>
      <c r="AJ3" s="61" t="s">
        <v>222</v>
      </c>
      <c r="AK3" s="47" t="s">
        <v>203</v>
      </c>
      <c r="AL3" s="47"/>
      <c r="AM3" s="47"/>
      <c r="AN3" s="47"/>
      <c r="AO3" s="47"/>
      <c r="AP3" s="47"/>
      <c r="AQ3" s="47"/>
      <c r="AR3" s="47"/>
      <c r="AS3" s="47"/>
      <c r="AT3" s="47"/>
      <c r="AU3" s="48" t="s">
        <v>223</v>
      </c>
      <c r="AV3" s="48" t="s">
        <v>223</v>
      </c>
      <c r="AW3" s="48" t="s">
        <v>223</v>
      </c>
      <c r="AX3" s="48" t="s">
        <v>223</v>
      </c>
      <c r="AY3" s="48" t="s">
        <v>223</v>
      </c>
      <c r="AZ3" s="48" t="s">
        <v>223</v>
      </c>
      <c r="BA3" s="48" t="s">
        <v>223</v>
      </c>
      <c r="BB3" s="48" t="s">
        <v>223</v>
      </c>
      <c r="BC3" s="48" t="s">
        <v>223</v>
      </c>
      <c r="BD3" s="48" t="s">
        <v>223</v>
      </c>
    </row>
    <row r="4" spans="1:56" s="49" customFormat="1" ht="17">
      <c r="A4" s="46"/>
      <c r="B4" s="50" t="s">
        <v>224</v>
      </c>
      <c r="C4" s="56" t="s">
        <v>225</v>
      </c>
      <c r="D4" s="123" t="s">
        <v>226</v>
      </c>
      <c r="E4" s="122" t="s">
        <v>227</v>
      </c>
      <c r="F4" s="62" t="s">
        <v>228</v>
      </c>
      <c r="G4" s="63" t="s">
        <v>229</v>
      </c>
      <c r="H4" s="62" t="s">
        <v>230</v>
      </c>
      <c r="I4" s="64" t="s">
        <v>231</v>
      </c>
      <c r="J4" s="65" t="s">
        <v>232</v>
      </c>
      <c r="K4" s="66" t="s">
        <v>233</v>
      </c>
      <c r="L4" s="66" t="s">
        <v>234</v>
      </c>
      <c r="M4" s="65" t="s">
        <v>235</v>
      </c>
      <c r="N4" s="65" t="s">
        <v>236</v>
      </c>
      <c r="O4" s="67" t="s">
        <v>237</v>
      </c>
      <c r="P4" s="67" t="s">
        <v>238</v>
      </c>
      <c r="Q4" s="67" t="s">
        <v>239</v>
      </c>
      <c r="R4" s="67" t="s">
        <v>240</v>
      </c>
      <c r="S4" s="68" t="s">
        <v>241</v>
      </c>
      <c r="T4" s="68" t="s">
        <v>242</v>
      </c>
      <c r="U4" s="68" t="s">
        <v>243</v>
      </c>
      <c r="V4" s="68" t="s">
        <v>244</v>
      </c>
      <c r="W4" s="69" t="s">
        <v>245</v>
      </c>
      <c r="X4" s="69" t="s">
        <v>246</v>
      </c>
      <c r="Y4" s="69" t="s">
        <v>247</v>
      </c>
      <c r="Z4" s="70" t="s">
        <v>248</v>
      </c>
      <c r="AA4" s="69" t="s">
        <v>249</v>
      </c>
      <c r="AB4" s="71" t="s">
        <v>250</v>
      </c>
      <c r="AC4" s="71" t="s">
        <v>251</v>
      </c>
      <c r="AD4" s="71" t="s">
        <v>252</v>
      </c>
      <c r="AE4" s="71" t="s">
        <v>253</v>
      </c>
      <c r="AF4" s="72" t="s">
        <v>254</v>
      </c>
      <c r="AG4" s="72" t="s">
        <v>255</v>
      </c>
      <c r="AH4" s="72" t="s">
        <v>256</v>
      </c>
      <c r="AI4" s="72" t="s">
        <v>257</v>
      </c>
      <c r="AJ4" s="72" t="s">
        <v>258</v>
      </c>
      <c r="AK4" s="51" t="s">
        <v>259</v>
      </c>
      <c r="AL4" s="51" t="s">
        <v>260</v>
      </c>
      <c r="AM4" s="51" t="s">
        <v>261</v>
      </c>
      <c r="AN4" s="51" t="s">
        <v>262</v>
      </c>
      <c r="AO4" s="51" t="s">
        <v>263</v>
      </c>
      <c r="AP4" s="51" t="s">
        <v>264</v>
      </c>
      <c r="AQ4" s="51" t="s">
        <v>265</v>
      </c>
      <c r="AR4" s="51" t="s">
        <v>266</v>
      </c>
      <c r="AS4" s="51" t="s">
        <v>267</v>
      </c>
      <c r="AT4" s="51" t="s">
        <v>268</v>
      </c>
      <c r="AU4" s="51" t="s">
        <v>269</v>
      </c>
      <c r="AV4" s="51" t="s">
        <v>270</v>
      </c>
      <c r="AW4" s="51" t="s">
        <v>271</v>
      </c>
      <c r="AX4" s="51" t="s">
        <v>272</v>
      </c>
      <c r="AY4" s="51" t="s">
        <v>273</v>
      </c>
      <c r="AZ4" s="51" t="s">
        <v>274</v>
      </c>
      <c r="BA4" s="51" t="s">
        <v>275</v>
      </c>
      <c r="BB4" s="51" t="s">
        <v>276</v>
      </c>
      <c r="BC4" s="51" t="s">
        <v>277</v>
      </c>
      <c r="BD4" s="51" t="s">
        <v>278</v>
      </c>
    </row>
    <row r="5" spans="1:56" ht="17">
      <c r="A5" s="133" t="s">
        <v>279</v>
      </c>
      <c r="B5" s="21" t="s">
        <v>280</v>
      </c>
      <c r="C5" s="22">
        <f>C6*C7</f>
        <v>1350000000</v>
      </c>
      <c r="D5" s="24">
        <f t="shared" ref="D5" si="0">D6*D7</f>
        <v>45000000</v>
      </c>
      <c r="E5" s="24">
        <f t="shared" ref="E5:AJ5" si="1">E6*E7</f>
        <v>0</v>
      </c>
      <c r="F5" s="24">
        <f t="shared" si="1"/>
        <v>0</v>
      </c>
      <c r="G5" s="24">
        <f t="shared" si="1"/>
        <v>45000000</v>
      </c>
      <c r="H5" s="24">
        <f t="shared" si="1"/>
        <v>0</v>
      </c>
      <c r="I5" s="24">
        <f t="shared" si="1"/>
        <v>0</v>
      </c>
      <c r="J5" s="24">
        <f t="shared" si="1"/>
        <v>0</v>
      </c>
      <c r="K5" s="24">
        <f t="shared" si="1"/>
        <v>0</v>
      </c>
      <c r="L5" s="24">
        <f t="shared" si="1"/>
        <v>0</v>
      </c>
      <c r="M5" s="24">
        <f t="shared" si="1"/>
        <v>0</v>
      </c>
      <c r="N5" s="24">
        <f t="shared" si="1"/>
        <v>0</v>
      </c>
      <c r="O5" s="24">
        <f t="shared" si="1"/>
        <v>0</v>
      </c>
      <c r="P5" s="24">
        <f t="shared" si="1"/>
        <v>0</v>
      </c>
      <c r="Q5" s="24">
        <f t="shared" si="1"/>
        <v>0</v>
      </c>
      <c r="R5" s="24">
        <f t="shared" si="1"/>
        <v>0</v>
      </c>
      <c r="S5" s="24">
        <f t="shared" si="1"/>
        <v>0</v>
      </c>
      <c r="T5" s="24">
        <f t="shared" si="1"/>
        <v>0</v>
      </c>
      <c r="U5" s="24">
        <f t="shared" si="1"/>
        <v>0</v>
      </c>
      <c r="V5" s="24">
        <f t="shared" si="1"/>
        <v>0</v>
      </c>
      <c r="W5" s="24">
        <f t="shared" si="1"/>
        <v>0</v>
      </c>
      <c r="X5" s="24">
        <f t="shared" si="1"/>
        <v>0</v>
      </c>
      <c r="Y5" s="24">
        <f t="shared" si="1"/>
        <v>0</v>
      </c>
      <c r="Z5" s="24">
        <f t="shared" si="1"/>
        <v>0</v>
      </c>
      <c r="AA5" s="24">
        <f t="shared" si="1"/>
        <v>0</v>
      </c>
      <c r="AB5" s="24">
        <f t="shared" si="1"/>
        <v>0</v>
      </c>
      <c r="AC5" s="24">
        <f t="shared" si="1"/>
        <v>0</v>
      </c>
      <c r="AD5" s="24">
        <f t="shared" si="1"/>
        <v>0</v>
      </c>
      <c r="AE5" s="24">
        <f t="shared" si="1"/>
        <v>0</v>
      </c>
      <c r="AF5" s="24">
        <f t="shared" si="1"/>
        <v>0</v>
      </c>
      <c r="AG5" s="24">
        <f t="shared" si="1"/>
        <v>0</v>
      </c>
      <c r="AH5" s="24">
        <f t="shared" si="1"/>
        <v>0</v>
      </c>
      <c r="AI5" s="24">
        <f t="shared" si="1"/>
        <v>0</v>
      </c>
      <c r="AJ5" s="24">
        <f t="shared" si="1"/>
        <v>0</v>
      </c>
      <c r="AK5" s="23" t="s">
        <v>223</v>
      </c>
      <c r="AL5" s="23" t="s">
        <v>223</v>
      </c>
      <c r="AM5" s="23" t="s">
        <v>223</v>
      </c>
      <c r="AN5" s="23" t="s">
        <v>223</v>
      </c>
      <c r="AO5" s="23" t="s">
        <v>223</v>
      </c>
      <c r="AP5" s="23" t="s">
        <v>223</v>
      </c>
      <c r="AQ5" s="23" t="s">
        <v>223</v>
      </c>
      <c r="AR5" s="23" t="s">
        <v>223</v>
      </c>
      <c r="AS5" s="23" t="s">
        <v>223</v>
      </c>
      <c r="AT5" s="23" t="s">
        <v>223</v>
      </c>
      <c r="AU5" s="23" t="s">
        <v>223</v>
      </c>
      <c r="AV5" s="23" t="s">
        <v>223</v>
      </c>
      <c r="AW5" s="23" t="s">
        <v>223</v>
      </c>
      <c r="AX5" s="23" t="s">
        <v>223</v>
      </c>
      <c r="AY5" s="23" t="s">
        <v>223</v>
      </c>
      <c r="AZ5" s="23" t="s">
        <v>223</v>
      </c>
      <c r="BA5" s="23" t="s">
        <v>223</v>
      </c>
      <c r="BB5" s="23" t="s">
        <v>223</v>
      </c>
      <c r="BC5" s="23" t="s">
        <v>223</v>
      </c>
      <c r="BD5" s="23" t="s">
        <v>223</v>
      </c>
    </row>
    <row r="6" spans="1:56" ht="17" hidden="1">
      <c r="A6" s="134"/>
      <c r="B6" s="21" t="s">
        <v>281</v>
      </c>
      <c r="C6" s="124">
        <v>45000000</v>
      </c>
      <c r="D6" s="24">
        <v>45000000</v>
      </c>
      <c r="E6" s="24">
        <v>45000000</v>
      </c>
      <c r="F6" s="24">
        <v>45000000</v>
      </c>
      <c r="G6" s="24">
        <v>45000000</v>
      </c>
      <c r="H6" s="24">
        <v>45000000</v>
      </c>
      <c r="I6" s="24">
        <v>45000000</v>
      </c>
      <c r="J6" s="24">
        <v>45000000</v>
      </c>
      <c r="K6" s="24">
        <v>45000000</v>
      </c>
      <c r="L6" s="24">
        <v>45000000</v>
      </c>
      <c r="M6" s="24">
        <v>45000000</v>
      </c>
      <c r="N6" s="24">
        <v>45000000</v>
      </c>
      <c r="O6" s="24">
        <v>45000000</v>
      </c>
      <c r="P6" s="24">
        <v>45000000</v>
      </c>
      <c r="Q6" s="24">
        <v>45000000</v>
      </c>
      <c r="R6" s="24">
        <v>45000000</v>
      </c>
      <c r="S6" s="24">
        <v>45000000</v>
      </c>
      <c r="T6" s="24">
        <v>45000000</v>
      </c>
      <c r="U6" s="24">
        <v>45000000</v>
      </c>
      <c r="V6" s="24">
        <v>45000000</v>
      </c>
      <c r="W6" s="24">
        <v>45000000</v>
      </c>
      <c r="X6" s="24">
        <v>45000000</v>
      </c>
      <c r="Y6" s="24">
        <v>45000000</v>
      </c>
      <c r="Z6" s="24">
        <v>45000000</v>
      </c>
      <c r="AA6" s="24">
        <v>45000000</v>
      </c>
      <c r="AB6" s="24">
        <v>45000000</v>
      </c>
      <c r="AC6" s="24">
        <v>45000000</v>
      </c>
      <c r="AD6" s="24">
        <v>45000000</v>
      </c>
      <c r="AE6" s="24">
        <v>45000000</v>
      </c>
      <c r="AF6" s="24">
        <v>45000000</v>
      </c>
      <c r="AG6" s="24">
        <v>45000000</v>
      </c>
      <c r="AH6" s="24">
        <v>45000000</v>
      </c>
      <c r="AI6" s="24">
        <v>45000000</v>
      </c>
      <c r="AJ6" s="24">
        <v>45000000</v>
      </c>
      <c r="AK6" s="23" t="s">
        <v>223</v>
      </c>
      <c r="AL6" s="23" t="s">
        <v>223</v>
      </c>
      <c r="AM6" s="23" t="s">
        <v>223</v>
      </c>
      <c r="AN6" s="23" t="s">
        <v>223</v>
      </c>
      <c r="AO6" s="23" t="s">
        <v>223</v>
      </c>
      <c r="AP6" s="23" t="s">
        <v>223</v>
      </c>
      <c r="AQ6" s="23" t="s">
        <v>223</v>
      </c>
      <c r="AR6" s="23" t="s">
        <v>223</v>
      </c>
      <c r="AS6" s="23" t="s">
        <v>223</v>
      </c>
      <c r="AT6" s="23" t="s">
        <v>223</v>
      </c>
      <c r="AU6" s="23" t="s">
        <v>223</v>
      </c>
      <c r="AV6" s="23" t="s">
        <v>223</v>
      </c>
      <c r="AW6" s="23" t="s">
        <v>223</v>
      </c>
      <c r="AX6" s="23" t="s">
        <v>223</v>
      </c>
      <c r="AY6" s="23" t="s">
        <v>223</v>
      </c>
      <c r="AZ6" s="23" t="s">
        <v>223</v>
      </c>
      <c r="BA6" s="23" t="s">
        <v>223</v>
      </c>
      <c r="BB6" s="23" t="s">
        <v>223</v>
      </c>
      <c r="BC6" s="23" t="s">
        <v>223</v>
      </c>
      <c r="BD6" s="23" t="s">
        <v>223</v>
      </c>
    </row>
    <row r="7" spans="1:56" ht="17">
      <c r="A7" s="134"/>
      <c r="B7" s="25" t="s">
        <v>282</v>
      </c>
      <c r="C7" s="26">
        <v>30</v>
      </c>
      <c r="D7" s="23">
        <f>SUM(E7:BD7)</f>
        <v>1</v>
      </c>
      <c r="E7" s="23">
        <f>COUNTIFS('DB 수집'!R4:R713,"&gt;=2026-5-1",'DB 수집'!R4:R713,"&lt;=2026-5-31")</f>
        <v>0</v>
      </c>
      <c r="F7" s="23">
        <f>COUNTIFS('DB 수집'!R4:R713,"&gt;=2026-6-1",'DB 수집'!R4:R713,"&lt;=2026-6-7")</f>
        <v>0</v>
      </c>
      <c r="G7" s="23">
        <f>COUNTIFS('DB 수집'!R4:R713,"&gt;=2026-6-8",'DB 수집'!R4:R713,"&lt;=2026-6-14")</f>
        <v>1</v>
      </c>
      <c r="H7" s="23">
        <f>COUNTIFS('DB 수집'!R4:R713,"&gt;=2026-6-15",'DB 수집'!R4:R713,"&lt;=2026-6-21")</f>
        <v>0</v>
      </c>
      <c r="I7" s="23">
        <f>COUNTIFS('DB 수집'!R4:R713,"&gt;=2026-6-22",'DB 수집'!R4:R713,"&lt;=2026-6-28")</f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 t="s">
        <v>223</v>
      </c>
      <c r="AL7" s="23" t="s">
        <v>223</v>
      </c>
      <c r="AM7" s="23" t="s">
        <v>223</v>
      </c>
      <c r="AN7" s="23" t="s">
        <v>223</v>
      </c>
      <c r="AO7" s="23" t="s">
        <v>223</v>
      </c>
      <c r="AP7" s="23" t="s">
        <v>223</v>
      </c>
      <c r="AQ7" s="23" t="s">
        <v>223</v>
      </c>
      <c r="AR7" s="23" t="s">
        <v>223</v>
      </c>
      <c r="AS7" s="23" t="s">
        <v>223</v>
      </c>
      <c r="AT7" s="23" t="s">
        <v>223</v>
      </c>
      <c r="AU7" s="23" t="s">
        <v>223</v>
      </c>
      <c r="AV7" s="23" t="s">
        <v>223</v>
      </c>
      <c r="AW7" s="23" t="s">
        <v>223</v>
      </c>
      <c r="AX7" s="23" t="s">
        <v>223</v>
      </c>
      <c r="AY7" s="23" t="s">
        <v>223</v>
      </c>
      <c r="AZ7" s="23" t="s">
        <v>223</v>
      </c>
      <c r="BA7" s="23" t="s">
        <v>223</v>
      </c>
      <c r="BB7" s="23" t="s">
        <v>223</v>
      </c>
      <c r="BC7" s="23" t="s">
        <v>223</v>
      </c>
      <c r="BD7" s="23" t="s">
        <v>223</v>
      </c>
    </row>
    <row r="8" spans="1:56" ht="17">
      <c r="A8" s="134"/>
      <c r="B8" s="21" t="s">
        <v>283</v>
      </c>
      <c r="C8" s="27">
        <v>0.5</v>
      </c>
      <c r="D8" s="28">
        <f>IFERROR(D7/D9,0)</f>
        <v>1</v>
      </c>
      <c r="E8" s="28">
        <f>IFERROR(E7/E9,0)</f>
        <v>0</v>
      </c>
      <c r="F8" s="28">
        <f t="shared" ref="F8:AJ8" si="2">IFERROR(F7/F9,0)</f>
        <v>0</v>
      </c>
      <c r="G8" s="28">
        <f t="shared" si="2"/>
        <v>1</v>
      </c>
      <c r="H8" s="28">
        <f t="shared" si="2"/>
        <v>0</v>
      </c>
      <c r="I8" s="28">
        <f t="shared" si="2"/>
        <v>0</v>
      </c>
      <c r="J8" s="28">
        <f t="shared" si="2"/>
        <v>0</v>
      </c>
      <c r="K8" s="28">
        <f t="shared" si="2"/>
        <v>0</v>
      </c>
      <c r="L8" s="28">
        <f t="shared" si="2"/>
        <v>0</v>
      </c>
      <c r="M8" s="28">
        <f t="shared" si="2"/>
        <v>0</v>
      </c>
      <c r="N8" s="28">
        <f t="shared" si="2"/>
        <v>0</v>
      </c>
      <c r="O8" s="28">
        <f t="shared" si="2"/>
        <v>0</v>
      </c>
      <c r="P8" s="28">
        <f t="shared" si="2"/>
        <v>0</v>
      </c>
      <c r="Q8" s="28">
        <f t="shared" si="2"/>
        <v>0</v>
      </c>
      <c r="R8" s="28">
        <f t="shared" si="2"/>
        <v>0</v>
      </c>
      <c r="S8" s="28">
        <f t="shared" si="2"/>
        <v>0</v>
      </c>
      <c r="T8" s="28">
        <f t="shared" si="2"/>
        <v>0</v>
      </c>
      <c r="U8" s="28">
        <f t="shared" si="2"/>
        <v>0</v>
      </c>
      <c r="V8" s="28">
        <f t="shared" si="2"/>
        <v>0</v>
      </c>
      <c r="W8" s="28">
        <f t="shared" si="2"/>
        <v>0</v>
      </c>
      <c r="X8" s="28">
        <f t="shared" si="2"/>
        <v>0</v>
      </c>
      <c r="Y8" s="28">
        <f t="shared" si="2"/>
        <v>0</v>
      </c>
      <c r="Z8" s="28">
        <f t="shared" si="2"/>
        <v>0</v>
      </c>
      <c r="AA8" s="28">
        <f t="shared" si="2"/>
        <v>0</v>
      </c>
      <c r="AB8" s="28">
        <f t="shared" si="2"/>
        <v>0</v>
      </c>
      <c r="AC8" s="28">
        <f t="shared" si="2"/>
        <v>0</v>
      </c>
      <c r="AD8" s="28">
        <f t="shared" si="2"/>
        <v>0</v>
      </c>
      <c r="AE8" s="28">
        <f t="shared" si="2"/>
        <v>0</v>
      </c>
      <c r="AF8" s="28">
        <f t="shared" si="2"/>
        <v>0</v>
      </c>
      <c r="AG8" s="28">
        <f t="shared" si="2"/>
        <v>0</v>
      </c>
      <c r="AH8" s="28">
        <f t="shared" si="2"/>
        <v>0</v>
      </c>
      <c r="AI8" s="28">
        <f t="shared" si="2"/>
        <v>0</v>
      </c>
      <c r="AJ8" s="28">
        <f t="shared" si="2"/>
        <v>0</v>
      </c>
      <c r="AK8" s="23" t="s">
        <v>223</v>
      </c>
      <c r="AL8" s="23" t="s">
        <v>223</v>
      </c>
      <c r="AM8" s="23" t="s">
        <v>223</v>
      </c>
      <c r="AN8" s="23" t="s">
        <v>223</v>
      </c>
      <c r="AO8" s="23" t="s">
        <v>223</v>
      </c>
      <c r="AP8" s="23" t="s">
        <v>223</v>
      </c>
      <c r="AQ8" s="23" t="s">
        <v>223</v>
      </c>
      <c r="AR8" s="23" t="s">
        <v>223</v>
      </c>
      <c r="AS8" s="23" t="s">
        <v>223</v>
      </c>
      <c r="AT8" s="23" t="s">
        <v>223</v>
      </c>
      <c r="AU8" s="23" t="s">
        <v>223</v>
      </c>
      <c r="AV8" s="23" t="s">
        <v>223</v>
      </c>
      <c r="AW8" s="23" t="s">
        <v>223</v>
      </c>
      <c r="AX8" s="23" t="s">
        <v>223</v>
      </c>
      <c r="AY8" s="23" t="s">
        <v>223</v>
      </c>
      <c r="AZ8" s="23" t="s">
        <v>223</v>
      </c>
      <c r="BA8" s="23" t="s">
        <v>223</v>
      </c>
      <c r="BB8" s="23" t="s">
        <v>223</v>
      </c>
      <c r="BC8" s="23" t="s">
        <v>223</v>
      </c>
      <c r="BD8" s="23" t="s">
        <v>223</v>
      </c>
    </row>
    <row r="9" spans="1:56" ht="17">
      <c r="A9" s="134"/>
      <c r="B9" s="25" t="s">
        <v>284</v>
      </c>
      <c r="C9" s="26">
        <f>C7/C8</f>
        <v>60</v>
      </c>
      <c r="D9" s="23">
        <f>SUM(E9:BD9)</f>
        <v>1</v>
      </c>
      <c r="E9" s="23">
        <f>COUNTIFS('DB 수집'!Q4:Q713,"&gt;=2026-5-1",'DB 수집'!Q4:Q713,"&lt;=2026-5-31")</f>
        <v>0</v>
      </c>
      <c r="F9" s="23">
        <f>COUNTIFS('DB 수집'!Q4:Q713,"&gt;=2026-6-1",'DB 수집'!Q4:Q713,"&lt;=2026-6-7")</f>
        <v>0</v>
      </c>
      <c r="G9" s="23">
        <f>COUNTIFS('DB 수집'!Q4:Q713,"&gt;=2026-6-8",'DB 수집'!Q4:Q713,"&lt;=2026-6-14")</f>
        <v>1</v>
      </c>
      <c r="H9" s="23">
        <f>COUNTIFS('DB 수집'!Q4:Q713,"&gt;=2026-6-15",'DB 수집'!Q4:Q713,"&lt;=2026-6-21")</f>
        <v>0</v>
      </c>
      <c r="I9" s="23">
        <f>COUNTIFS('DB 수집'!Q4:Q713,"&gt;=2026-6-22",'DB 수집'!Q4:Q713,"&lt;=2026-6-28")</f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</row>
    <row r="10" spans="1:56" ht="17">
      <c r="A10" s="134"/>
      <c r="B10" s="21" t="s">
        <v>285</v>
      </c>
      <c r="C10" s="27">
        <v>0.2</v>
      </c>
      <c r="D10" s="28">
        <f>IFERROR(D9/D11,0)</f>
        <v>0.33333333333333331</v>
      </c>
      <c r="E10" s="28">
        <f>IFERROR(E9/E11,0)</f>
        <v>0</v>
      </c>
      <c r="F10" s="28">
        <f t="shared" ref="F10:AJ10" si="3">IFERROR(F9/F11,0)</f>
        <v>0</v>
      </c>
      <c r="G10" s="28">
        <f t="shared" si="3"/>
        <v>0.33333333333333331</v>
      </c>
      <c r="H10" s="28">
        <f t="shared" si="3"/>
        <v>0</v>
      </c>
      <c r="I10" s="28">
        <f t="shared" si="3"/>
        <v>0</v>
      </c>
      <c r="J10" s="28">
        <f t="shared" si="3"/>
        <v>0</v>
      </c>
      <c r="K10" s="28">
        <f t="shared" si="3"/>
        <v>0</v>
      </c>
      <c r="L10" s="28">
        <f t="shared" si="3"/>
        <v>0</v>
      </c>
      <c r="M10" s="28">
        <f t="shared" si="3"/>
        <v>0</v>
      </c>
      <c r="N10" s="28">
        <f t="shared" si="3"/>
        <v>0</v>
      </c>
      <c r="O10" s="28">
        <f t="shared" si="3"/>
        <v>0</v>
      </c>
      <c r="P10" s="28">
        <f t="shared" si="3"/>
        <v>0</v>
      </c>
      <c r="Q10" s="28">
        <f t="shared" si="3"/>
        <v>0</v>
      </c>
      <c r="R10" s="28">
        <f t="shared" si="3"/>
        <v>0</v>
      </c>
      <c r="S10" s="28">
        <f t="shared" si="3"/>
        <v>0</v>
      </c>
      <c r="T10" s="28">
        <f t="shared" si="3"/>
        <v>0</v>
      </c>
      <c r="U10" s="28">
        <f t="shared" si="3"/>
        <v>0</v>
      </c>
      <c r="V10" s="28">
        <f t="shared" si="3"/>
        <v>0</v>
      </c>
      <c r="W10" s="28">
        <f t="shared" si="3"/>
        <v>0</v>
      </c>
      <c r="X10" s="28">
        <f t="shared" si="3"/>
        <v>0</v>
      </c>
      <c r="Y10" s="28">
        <f t="shared" si="3"/>
        <v>0</v>
      </c>
      <c r="Z10" s="28">
        <f t="shared" si="3"/>
        <v>0</v>
      </c>
      <c r="AA10" s="28">
        <f t="shared" si="3"/>
        <v>0</v>
      </c>
      <c r="AB10" s="28">
        <f t="shared" si="3"/>
        <v>0</v>
      </c>
      <c r="AC10" s="28">
        <f t="shared" si="3"/>
        <v>0</v>
      </c>
      <c r="AD10" s="28">
        <f t="shared" si="3"/>
        <v>0</v>
      </c>
      <c r="AE10" s="28">
        <f t="shared" si="3"/>
        <v>0</v>
      </c>
      <c r="AF10" s="28">
        <f t="shared" si="3"/>
        <v>0</v>
      </c>
      <c r="AG10" s="28">
        <f t="shared" si="3"/>
        <v>0</v>
      </c>
      <c r="AH10" s="28">
        <f t="shared" si="3"/>
        <v>0</v>
      </c>
      <c r="AI10" s="28">
        <f t="shared" si="3"/>
        <v>0</v>
      </c>
      <c r="AJ10" s="28">
        <f t="shared" si="3"/>
        <v>0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</row>
    <row r="11" spans="1:56" ht="17">
      <c r="A11" s="134"/>
      <c r="B11" s="73" t="s">
        <v>286</v>
      </c>
      <c r="C11" s="74">
        <f>C9/C10</f>
        <v>300</v>
      </c>
      <c r="D11" s="23">
        <f>SUM(E11:BD11)</f>
        <v>3</v>
      </c>
      <c r="E11" s="23">
        <f>COUNTIFS('DB 수집'!P4:P713,"&gt;=2026-5-1",'DB 수집'!P4:P713,"&lt;=2026-5-31")</f>
        <v>0</v>
      </c>
      <c r="F11" s="23">
        <f>COUNTIFS('DB 수집'!P4:P713,"&gt;=2026-6-1",'DB 수집'!P4:P713,"&lt;=2026-6-7")</f>
        <v>0</v>
      </c>
      <c r="G11" s="23">
        <f>COUNTIFS('DB 수집'!P4:P713,"&gt;=2026-6-8",'DB 수집'!P4:P713,"&lt;=2026-6-14")</f>
        <v>3</v>
      </c>
      <c r="H11" s="23">
        <f>COUNTIFS('DB 수집'!P4:P713,"&gt;=2026-6-15",'DB 수집'!P4:P713,"&lt;=2026-6-21")</f>
        <v>0</v>
      </c>
      <c r="I11" s="23">
        <f>COUNTIFS('DB 수집'!P4:P713,"&gt;=2026-6-22",'DB 수집'!P4:P713,"&lt;=2026-6-28")</f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</row>
    <row r="12" spans="1:56" ht="17">
      <c r="A12" s="134"/>
      <c r="B12" s="21" t="s">
        <v>287</v>
      </c>
      <c r="C12" s="27">
        <v>0.2</v>
      </c>
      <c r="D12" s="28">
        <f>IFERROR(D11/D13,0)</f>
        <v>0.5</v>
      </c>
      <c r="E12" s="28">
        <f>IFERROR(E11/E13,0)</f>
        <v>0</v>
      </c>
      <c r="F12" s="28">
        <f t="shared" ref="F12:AJ12" si="4">IFERROR(F11/F13,0)</f>
        <v>0</v>
      </c>
      <c r="G12" s="28">
        <f t="shared" si="4"/>
        <v>0</v>
      </c>
      <c r="H12" s="28">
        <f t="shared" si="4"/>
        <v>0</v>
      </c>
      <c r="I12" s="28">
        <f t="shared" si="4"/>
        <v>0</v>
      </c>
      <c r="J12" s="28">
        <f t="shared" si="4"/>
        <v>0</v>
      </c>
      <c r="K12" s="28">
        <f t="shared" si="4"/>
        <v>0</v>
      </c>
      <c r="L12" s="28">
        <f t="shared" si="4"/>
        <v>0</v>
      </c>
      <c r="M12" s="28">
        <f t="shared" si="4"/>
        <v>0</v>
      </c>
      <c r="N12" s="28">
        <f t="shared" si="4"/>
        <v>0</v>
      </c>
      <c r="O12" s="28">
        <f t="shared" si="4"/>
        <v>0</v>
      </c>
      <c r="P12" s="28">
        <f t="shared" si="4"/>
        <v>0</v>
      </c>
      <c r="Q12" s="28">
        <f t="shared" si="4"/>
        <v>0</v>
      </c>
      <c r="R12" s="28">
        <f t="shared" si="4"/>
        <v>0</v>
      </c>
      <c r="S12" s="28">
        <f t="shared" si="4"/>
        <v>0</v>
      </c>
      <c r="T12" s="28">
        <f t="shared" si="4"/>
        <v>0</v>
      </c>
      <c r="U12" s="28">
        <f t="shared" si="4"/>
        <v>0</v>
      </c>
      <c r="V12" s="28">
        <f t="shared" si="4"/>
        <v>0</v>
      </c>
      <c r="W12" s="28">
        <f t="shared" si="4"/>
        <v>0</v>
      </c>
      <c r="X12" s="28">
        <f t="shared" si="4"/>
        <v>0</v>
      </c>
      <c r="Y12" s="28">
        <f t="shared" si="4"/>
        <v>0</v>
      </c>
      <c r="Z12" s="28">
        <f t="shared" si="4"/>
        <v>0</v>
      </c>
      <c r="AA12" s="28">
        <f t="shared" si="4"/>
        <v>0</v>
      </c>
      <c r="AB12" s="28">
        <f t="shared" si="4"/>
        <v>0</v>
      </c>
      <c r="AC12" s="28">
        <f t="shared" si="4"/>
        <v>0</v>
      </c>
      <c r="AD12" s="28">
        <f t="shared" si="4"/>
        <v>0</v>
      </c>
      <c r="AE12" s="28">
        <f t="shared" si="4"/>
        <v>0</v>
      </c>
      <c r="AF12" s="28">
        <f t="shared" si="4"/>
        <v>0</v>
      </c>
      <c r="AG12" s="28">
        <f t="shared" si="4"/>
        <v>0</v>
      </c>
      <c r="AH12" s="28">
        <f t="shared" si="4"/>
        <v>0</v>
      </c>
      <c r="AI12" s="28">
        <f t="shared" si="4"/>
        <v>0</v>
      </c>
      <c r="AJ12" s="28">
        <f t="shared" si="4"/>
        <v>0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</row>
    <row r="13" spans="1:56" s="110" customFormat="1" ht="17">
      <c r="A13" s="134"/>
      <c r="B13" s="107" t="s">
        <v>288</v>
      </c>
      <c r="C13" s="108">
        <f>C11/C12</f>
        <v>1500</v>
      </c>
      <c r="D13" s="109">
        <f>SUM(E13:BD13)</f>
        <v>6</v>
      </c>
      <c r="E13" s="109">
        <f>COUNTIFS('DB 수집'!J4:J713,"&gt;=2026-5-1",'DB 수집'!J4:J713,"&lt;=2026-5-31")</f>
        <v>3</v>
      </c>
      <c r="F13" s="109">
        <f>COUNTIFS('DB 수집'!J4:J713,"&gt;=2026-6-1",'DB 수집'!J4:J713,"&lt;=2026-6-7")</f>
        <v>1</v>
      </c>
      <c r="G13" s="109">
        <f>COUNTIFS('DB 수집'!J4:J713,"&gt;=2026-6-8",'DB 수집'!J4:J713,"&lt;=2026-6-14")</f>
        <v>0</v>
      </c>
      <c r="H13" s="109">
        <f>COUNTIFS('DB 수집'!J4:J713,"&gt;=2026-6-15",'DB 수집'!J4:J713,"&lt;=2026-6-21")</f>
        <v>0</v>
      </c>
      <c r="I13" s="109">
        <f>COUNTIFS('DB 수집'!J4:J713,"&gt;=2026-6-22",'DB 수집'!J4:J713,"&lt;=2026-6-28")</f>
        <v>2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</row>
    <row r="14" spans="1:56" s="113" customFormat="1" ht="17">
      <c r="A14" s="134"/>
      <c r="B14" s="111" t="s">
        <v>289</v>
      </c>
      <c r="C14" s="27">
        <v>0.8</v>
      </c>
      <c r="D14" s="112">
        <f>IFERROR(D13/(D15+D16),0)</f>
        <v>0.17647058823529413</v>
      </c>
      <c r="E14" s="112">
        <f>IFERROR(E13/(E15+E16),0)</f>
        <v>0.25</v>
      </c>
      <c r="F14" s="112">
        <f t="shared" ref="F14:AJ14" si="5">IFERROR(F13/(F15+F16),0)</f>
        <v>0.1</v>
      </c>
      <c r="G14" s="112">
        <f t="shared" si="5"/>
        <v>0</v>
      </c>
      <c r="H14" s="112">
        <f t="shared" si="5"/>
        <v>0</v>
      </c>
      <c r="I14" s="112">
        <f t="shared" si="5"/>
        <v>0</v>
      </c>
      <c r="J14" s="112">
        <f t="shared" si="5"/>
        <v>0</v>
      </c>
      <c r="K14" s="112">
        <f t="shared" si="5"/>
        <v>0</v>
      </c>
      <c r="L14" s="112">
        <f t="shared" si="5"/>
        <v>0</v>
      </c>
      <c r="M14" s="112">
        <f t="shared" si="5"/>
        <v>0</v>
      </c>
      <c r="N14" s="112">
        <f t="shared" si="5"/>
        <v>0</v>
      </c>
      <c r="O14" s="112">
        <f t="shared" si="5"/>
        <v>0</v>
      </c>
      <c r="P14" s="112">
        <f t="shared" si="5"/>
        <v>0</v>
      </c>
      <c r="Q14" s="112">
        <f t="shared" si="5"/>
        <v>0</v>
      </c>
      <c r="R14" s="112">
        <f t="shared" si="5"/>
        <v>0</v>
      </c>
      <c r="S14" s="112">
        <f t="shared" si="5"/>
        <v>0</v>
      </c>
      <c r="T14" s="112">
        <f t="shared" si="5"/>
        <v>0</v>
      </c>
      <c r="U14" s="112">
        <f t="shared" si="5"/>
        <v>0</v>
      </c>
      <c r="V14" s="112">
        <f t="shared" si="5"/>
        <v>0</v>
      </c>
      <c r="W14" s="112">
        <f t="shared" si="5"/>
        <v>0</v>
      </c>
      <c r="X14" s="112">
        <f t="shared" si="5"/>
        <v>0</v>
      </c>
      <c r="Y14" s="112">
        <f t="shared" si="5"/>
        <v>0</v>
      </c>
      <c r="Z14" s="112">
        <f t="shared" si="5"/>
        <v>0</v>
      </c>
      <c r="AA14" s="112">
        <f t="shared" si="5"/>
        <v>0</v>
      </c>
      <c r="AB14" s="112">
        <f t="shared" si="5"/>
        <v>0</v>
      </c>
      <c r="AC14" s="112">
        <f t="shared" si="5"/>
        <v>0</v>
      </c>
      <c r="AD14" s="112">
        <f t="shared" si="5"/>
        <v>0</v>
      </c>
      <c r="AE14" s="112">
        <f t="shared" si="5"/>
        <v>0</v>
      </c>
      <c r="AF14" s="112">
        <f t="shared" si="5"/>
        <v>0</v>
      </c>
      <c r="AG14" s="112">
        <f t="shared" si="5"/>
        <v>0</v>
      </c>
      <c r="AH14" s="112">
        <f t="shared" si="5"/>
        <v>0</v>
      </c>
      <c r="AI14" s="112">
        <f t="shared" si="5"/>
        <v>0</v>
      </c>
      <c r="AJ14" s="112">
        <f t="shared" si="5"/>
        <v>0</v>
      </c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</row>
    <row r="15" spans="1:56" ht="17" hidden="1">
      <c r="A15" s="134"/>
      <c r="B15" s="25" t="s">
        <v>290</v>
      </c>
      <c r="C15" s="29">
        <f>C13/C14*0.6666</f>
        <v>1249.875</v>
      </c>
      <c r="D15" s="109">
        <f>SUM(E15:BD15)</f>
        <v>0</v>
      </c>
      <c r="E15" s="23">
        <f>COUNTIFS('DB 수집'!D4:D713,"리드(온라인)",'DB 수집'!F4:F713,"&gt;=2026-5-25",'DB 수집'!F4:F713,"&lt;=2026-5-31")</f>
        <v>0</v>
      </c>
      <c r="F15" s="23">
        <f>COUNTIFS('DB 수집'!D4:D713,"리드(온라인)",'DB 수집'!F4:F713,"&gt;=2026-6-1",'DB 수집'!F4:F713,"&lt;=2026-6-7")</f>
        <v>0</v>
      </c>
      <c r="G15" s="23">
        <f>COUNTIFS('DB 수집'!D4:D713,"리드(온라인)",'DB 수집'!F4:F713,"&gt;=2026-6-8",'DB 수집'!F4:F713,"&lt;=2026-6-14")</f>
        <v>0</v>
      </c>
      <c r="H15" s="23">
        <f>COUNTIFS('DB 수집'!D4:D713,"리드(온라인)",'DB 수집'!F4:F713,"&gt;=2026-6-15",'DB 수집'!F4:F713,"&lt;=2026-6-21")</f>
        <v>0</v>
      </c>
      <c r="I15" s="23">
        <f>COUNTIFS('DB 수집'!D4:D713,"리드(온라인)",'DB 수집'!F4:F713,"&gt;=2026-6-22",'DB 수집'!F4:F713,"&lt;=2026-6-28")</f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 t="s">
        <v>223</v>
      </c>
      <c r="AL15" s="23" t="s">
        <v>223</v>
      </c>
      <c r="AM15" s="23" t="s">
        <v>223</v>
      </c>
      <c r="AN15" s="23" t="s">
        <v>223</v>
      </c>
      <c r="AO15" s="23" t="s">
        <v>223</v>
      </c>
      <c r="AP15" s="23" t="s">
        <v>223</v>
      </c>
      <c r="AQ15" s="23" t="s">
        <v>223</v>
      </c>
      <c r="AR15" s="23" t="s">
        <v>223</v>
      </c>
      <c r="AS15" s="23" t="s">
        <v>223</v>
      </c>
      <c r="AT15" s="23" t="s">
        <v>223</v>
      </c>
      <c r="AU15" s="23" t="s">
        <v>223</v>
      </c>
      <c r="AV15" s="23" t="s">
        <v>223</v>
      </c>
      <c r="AW15" s="23" t="s">
        <v>223</v>
      </c>
      <c r="AX15" s="23" t="s">
        <v>223</v>
      </c>
      <c r="AY15" s="23" t="s">
        <v>223</v>
      </c>
      <c r="AZ15" s="23" t="s">
        <v>223</v>
      </c>
      <c r="BA15" s="23" t="s">
        <v>223</v>
      </c>
      <c r="BB15" s="23" t="s">
        <v>223</v>
      </c>
      <c r="BC15" s="23" t="s">
        <v>223</v>
      </c>
      <c r="BD15" s="23" t="s">
        <v>223</v>
      </c>
    </row>
    <row r="16" spans="1:56" ht="17">
      <c r="A16" s="134"/>
      <c r="B16" s="25" t="s">
        <v>291</v>
      </c>
      <c r="C16" s="29">
        <f>C13/C14*0.3333</f>
        <v>624.9375</v>
      </c>
      <c r="D16" s="23">
        <f>SUM(E16:BD16)</f>
        <v>34</v>
      </c>
      <c r="E16" s="23">
        <f>COUNTIFS('DB 수집'!D4:D713,"리드(오프라인)",'DB 수집'!F4:F713,"&gt;=2026-5-25",'DB 수집'!F4:F713,"&lt;=2026-5-31")</f>
        <v>12</v>
      </c>
      <c r="F16" s="23">
        <f>COUNTIFS('DB 수집'!D4:D713,"리드(오프라인)",'DB 수집'!F4:F713,"&gt;=2026-6-1",'DB 수집'!F4:F713,"&lt;=2026-6-7")</f>
        <v>10</v>
      </c>
      <c r="G16" s="23">
        <f>COUNTIFS('DB 수집'!D4:D713,"리드(오프라인)",'DB 수집'!F4:F713,"&gt;=2026-6-8",'DB 수집'!F4:F713,"&lt;=2026-6-14")</f>
        <v>0</v>
      </c>
      <c r="H16" s="23">
        <f>COUNTIFS('DB 수집'!D4:D713,"리드(오프라인)",'DB 수집'!F4:F713,"&gt;=2026-6-15",'DB 수집'!F4:F713,"&lt;=2026-6-21")</f>
        <v>12</v>
      </c>
      <c r="I16" s="23">
        <f>COUNTIFS('DB 수집'!D4:D713,"리드(오프라인)",'DB 수집'!F4:F713,"&gt;=2026-6-22",'DB 수집'!F4:F713,"&lt;=2026-6-28")</f>
        <v>0</v>
      </c>
      <c r="J16" s="23">
        <f>COUNTIFS('DB 수집'!D4:D713,"리드(오프라인)",'DB 수집'!F4:F713,"&gt;=2026-6-29",'DB 수집'!F4:F713,"&lt;=2026-7-5")</f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</row>
    <row r="17" spans="1:56" ht="17" hidden="1">
      <c r="A17" s="135"/>
      <c r="B17" s="125" t="s">
        <v>292</v>
      </c>
      <c r="C17" s="126">
        <v>0.1</v>
      </c>
      <c r="D17" s="127">
        <f t="shared" ref="D17" si="6">IFERROR(D15/D18,0)</f>
        <v>0</v>
      </c>
      <c r="E17" s="127">
        <f t="shared" ref="E17:AJ17" si="7">IFERROR(E15/E18,0)</f>
        <v>0</v>
      </c>
      <c r="F17" s="127">
        <f t="shared" si="7"/>
        <v>0</v>
      </c>
      <c r="G17" s="127">
        <f t="shared" si="7"/>
        <v>0</v>
      </c>
      <c r="H17" s="127">
        <f t="shared" si="7"/>
        <v>0</v>
      </c>
      <c r="I17" s="127">
        <f t="shared" si="7"/>
        <v>0</v>
      </c>
      <c r="J17" s="127">
        <f t="shared" si="7"/>
        <v>0</v>
      </c>
      <c r="K17" s="127">
        <f t="shared" si="7"/>
        <v>0</v>
      </c>
      <c r="L17" s="127">
        <f t="shared" si="7"/>
        <v>0</v>
      </c>
      <c r="M17" s="127">
        <f t="shared" si="7"/>
        <v>0</v>
      </c>
      <c r="N17" s="127">
        <f t="shared" si="7"/>
        <v>0</v>
      </c>
      <c r="O17" s="127">
        <f t="shared" si="7"/>
        <v>0</v>
      </c>
      <c r="P17" s="127">
        <f t="shared" si="7"/>
        <v>0</v>
      </c>
      <c r="Q17" s="127">
        <f t="shared" si="7"/>
        <v>0</v>
      </c>
      <c r="R17" s="127">
        <f t="shared" si="7"/>
        <v>0</v>
      </c>
      <c r="S17" s="127">
        <f t="shared" si="7"/>
        <v>0</v>
      </c>
      <c r="T17" s="127">
        <f t="shared" si="7"/>
        <v>0</v>
      </c>
      <c r="U17" s="127">
        <f t="shared" si="7"/>
        <v>0</v>
      </c>
      <c r="V17" s="127">
        <f t="shared" si="7"/>
        <v>0</v>
      </c>
      <c r="W17" s="127">
        <f t="shared" si="7"/>
        <v>0</v>
      </c>
      <c r="X17" s="127">
        <f t="shared" si="7"/>
        <v>0</v>
      </c>
      <c r="Y17" s="127">
        <f t="shared" si="7"/>
        <v>0</v>
      </c>
      <c r="Z17" s="127">
        <f t="shared" si="7"/>
        <v>0</v>
      </c>
      <c r="AA17" s="127">
        <f t="shared" si="7"/>
        <v>0</v>
      </c>
      <c r="AB17" s="127">
        <f t="shared" si="7"/>
        <v>0</v>
      </c>
      <c r="AC17" s="127">
        <f t="shared" si="7"/>
        <v>0</v>
      </c>
      <c r="AD17" s="127">
        <f t="shared" si="7"/>
        <v>0</v>
      </c>
      <c r="AE17" s="127">
        <f t="shared" si="7"/>
        <v>0</v>
      </c>
      <c r="AF17" s="127">
        <f t="shared" si="7"/>
        <v>0</v>
      </c>
      <c r="AG17" s="127">
        <f t="shared" si="7"/>
        <v>0</v>
      </c>
      <c r="AH17" s="127">
        <f t="shared" si="7"/>
        <v>0</v>
      </c>
      <c r="AI17" s="127">
        <f t="shared" si="7"/>
        <v>0</v>
      </c>
      <c r="AJ17" s="127">
        <f t="shared" si="7"/>
        <v>0</v>
      </c>
      <c r="AK17" s="128" t="s">
        <v>223</v>
      </c>
      <c r="AL17" s="128" t="s">
        <v>223</v>
      </c>
      <c r="AM17" s="128" t="s">
        <v>223</v>
      </c>
      <c r="AN17" s="128" t="s">
        <v>223</v>
      </c>
      <c r="AO17" s="128" t="s">
        <v>223</v>
      </c>
      <c r="AP17" s="128" t="s">
        <v>223</v>
      </c>
      <c r="AQ17" s="128" t="s">
        <v>223</v>
      </c>
      <c r="AR17" s="128" t="s">
        <v>223</v>
      </c>
      <c r="AS17" s="128" t="s">
        <v>223</v>
      </c>
      <c r="AT17" s="128" t="s">
        <v>223</v>
      </c>
      <c r="AU17" s="128" t="s">
        <v>223</v>
      </c>
      <c r="AV17" s="128" t="s">
        <v>223</v>
      </c>
      <c r="AW17" s="128" t="s">
        <v>223</v>
      </c>
      <c r="AX17" s="128" t="s">
        <v>223</v>
      </c>
      <c r="AY17" s="128" t="s">
        <v>223</v>
      </c>
      <c r="AZ17" s="128" t="s">
        <v>223</v>
      </c>
      <c r="BA17" s="128" t="s">
        <v>223</v>
      </c>
      <c r="BB17" s="128" t="s">
        <v>223</v>
      </c>
      <c r="BC17" s="128" t="s">
        <v>223</v>
      </c>
      <c r="BD17" s="128" t="s">
        <v>223</v>
      </c>
    </row>
    <row r="18" spans="1:56" ht="17" hidden="1">
      <c r="A18" s="136" t="s">
        <v>293</v>
      </c>
      <c r="B18" s="25" t="s">
        <v>294</v>
      </c>
      <c r="C18" s="29">
        <f>C15/C17</f>
        <v>12498.75</v>
      </c>
      <c r="D18" s="29"/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 t="s">
        <v>223</v>
      </c>
      <c r="AL18" s="23" t="s">
        <v>223</v>
      </c>
      <c r="AM18" s="23" t="s">
        <v>223</v>
      </c>
      <c r="AN18" s="23" t="s">
        <v>223</v>
      </c>
      <c r="AO18" s="23" t="s">
        <v>223</v>
      </c>
      <c r="AP18" s="23" t="s">
        <v>223</v>
      </c>
      <c r="AQ18" s="23" t="s">
        <v>223</v>
      </c>
      <c r="AR18" s="23" t="s">
        <v>223</v>
      </c>
      <c r="AS18" s="23" t="s">
        <v>223</v>
      </c>
      <c r="AT18" s="23" t="s">
        <v>223</v>
      </c>
      <c r="AU18" s="23" t="s">
        <v>223</v>
      </c>
      <c r="AV18" s="23" t="s">
        <v>223</v>
      </c>
      <c r="AW18" s="23" t="s">
        <v>223</v>
      </c>
      <c r="AX18" s="23" t="s">
        <v>223</v>
      </c>
      <c r="AY18" s="23" t="s">
        <v>223</v>
      </c>
      <c r="AZ18" s="23" t="s">
        <v>223</v>
      </c>
      <c r="BA18" s="23" t="s">
        <v>223</v>
      </c>
      <c r="BB18" s="23" t="s">
        <v>223</v>
      </c>
      <c r="BC18" s="23" t="s">
        <v>223</v>
      </c>
      <c r="BD18" s="23" t="s">
        <v>223</v>
      </c>
    </row>
    <row r="19" spans="1:56" ht="17" hidden="1">
      <c r="A19" s="137"/>
      <c r="B19" s="21" t="s">
        <v>295</v>
      </c>
      <c r="C19" s="27">
        <v>0.2</v>
      </c>
      <c r="D19" s="27"/>
      <c r="E19" s="28">
        <f t="shared" ref="E19:AJ19" si="8">IFERROR(E18/E24,0)</f>
        <v>0</v>
      </c>
      <c r="F19" s="28">
        <f t="shared" si="8"/>
        <v>0</v>
      </c>
      <c r="G19" s="28">
        <f t="shared" si="8"/>
        <v>0</v>
      </c>
      <c r="H19" s="28">
        <f t="shared" si="8"/>
        <v>0</v>
      </c>
      <c r="I19" s="28">
        <f t="shared" si="8"/>
        <v>0</v>
      </c>
      <c r="J19" s="28">
        <f t="shared" si="8"/>
        <v>0</v>
      </c>
      <c r="K19" s="28">
        <f t="shared" si="8"/>
        <v>0</v>
      </c>
      <c r="L19" s="28">
        <f t="shared" si="8"/>
        <v>0</v>
      </c>
      <c r="M19" s="28">
        <f t="shared" si="8"/>
        <v>0</v>
      </c>
      <c r="N19" s="28">
        <f t="shared" si="8"/>
        <v>0</v>
      </c>
      <c r="O19" s="28">
        <f t="shared" si="8"/>
        <v>0</v>
      </c>
      <c r="P19" s="28">
        <f t="shared" si="8"/>
        <v>0</v>
      </c>
      <c r="Q19" s="28">
        <f t="shared" si="8"/>
        <v>0</v>
      </c>
      <c r="R19" s="28">
        <f t="shared" si="8"/>
        <v>0</v>
      </c>
      <c r="S19" s="28">
        <f t="shared" si="8"/>
        <v>0</v>
      </c>
      <c r="T19" s="28">
        <f t="shared" si="8"/>
        <v>0</v>
      </c>
      <c r="U19" s="28">
        <f t="shared" si="8"/>
        <v>0</v>
      </c>
      <c r="V19" s="28">
        <f t="shared" si="8"/>
        <v>0</v>
      </c>
      <c r="W19" s="28">
        <f t="shared" si="8"/>
        <v>0</v>
      </c>
      <c r="X19" s="28">
        <f t="shared" si="8"/>
        <v>0</v>
      </c>
      <c r="Y19" s="28">
        <f t="shared" si="8"/>
        <v>0</v>
      </c>
      <c r="Z19" s="28">
        <f t="shared" si="8"/>
        <v>0</v>
      </c>
      <c r="AA19" s="28">
        <f t="shared" si="8"/>
        <v>0</v>
      </c>
      <c r="AB19" s="28">
        <f t="shared" si="8"/>
        <v>0</v>
      </c>
      <c r="AC19" s="28">
        <f t="shared" si="8"/>
        <v>0</v>
      </c>
      <c r="AD19" s="28">
        <f t="shared" si="8"/>
        <v>0</v>
      </c>
      <c r="AE19" s="28">
        <f t="shared" si="8"/>
        <v>0</v>
      </c>
      <c r="AF19" s="28">
        <f t="shared" si="8"/>
        <v>0</v>
      </c>
      <c r="AG19" s="28">
        <f t="shared" si="8"/>
        <v>0</v>
      </c>
      <c r="AH19" s="28">
        <f t="shared" si="8"/>
        <v>0</v>
      </c>
      <c r="AI19" s="28">
        <f t="shared" si="8"/>
        <v>0</v>
      </c>
      <c r="AJ19" s="28">
        <f t="shared" si="8"/>
        <v>0</v>
      </c>
      <c r="AK19" s="23" t="s">
        <v>223</v>
      </c>
      <c r="AL19" s="23" t="s">
        <v>223</v>
      </c>
      <c r="AM19" s="23" t="s">
        <v>223</v>
      </c>
      <c r="AN19" s="23" t="s">
        <v>223</v>
      </c>
      <c r="AO19" s="23" t="s">
        <v>223</v>
      </c>
      <c r="AP19" s="23" t="s">
        <v>223</v>
      </c>
      <c r="AQ19" s="23" t="s">
        <v>223</v>
      </c>
      <c r="AR19" s="23" t="s">
        <v>223</v>
      </c>
      <c r="AS19" s="23" t="s">
        <v>223</v>
      </c>
      <c r="AT19" s="23" t="s">
        <v>223</v>
      </c>
      <c r="AU19" s="23" t="s">
        <v>223</v>
      </c>
      <c r="AV19" s="23" t="s">
        <v>223</v>
      </c>
      <c r="AW19" s="23" t="s">
        <v>223</v>
      </c>
      <c r="AX19" s="23" t="s">
        <v>223</v>
      </c>
      <c r="AY19" s="23" t="s">
        <v>223</v>
      </c>
      <c r="AZ19" s="23" t="s">
        <v>223</v>
      </c>
      <c r="BA19" s="23" t="s">
        <v>223</v>
      </c>
      <c r="BB19" s="23" t="s">
        <v>223</v>
      </c>
      <c r="BC19" s="23" t="s">
        <v>223</v>
      </c>
      <c r="BD19" s="23" t="s">
        <v>223</v>
      </c>
    </row>
    <row r="20" spans="1:56" ht="17" hidden="1">
      <c r="A20" s="137"/>
      <c r="B20" s="33" t="s">
        <v>296</v>
      </c>
      <c r="C20" s="23">
        <v>240</v>
      </c>
      <c r="D20" s="23"/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23" t="s">
        <v>223</v>
      </c>
      <c r="Q20" s="23" t="s">
        <v>223</v>
      </c>
      <c r="R20" s="23" t="s">
        <v>223</v>
      </c>
      <c r="S20" s="23" t="s">
        <v>223</v>
      </c>
      <c r="T20" s="23" t="s">
        <v>223</v>
      </c>
      <c r="U20" s="23" t="s">
        <v>223</v>
      </c>
      <c r="V20" s="23" t="s">
        <v>223</v>
      </c>
      <c r="W20" s="23" t="s">
        <v>223</v>
      </c>
      <c r="X20" s="23" t="s">
        <v>223</v>
      </c>
      <c r="Y20" s="23" t="s">
        <v>223</v>
      </c>
      <c r="Z20" s="23" t="s">
        <v>223</v>
      </c>
      <c r="AA20" s="23" t="s">
        <v>223</v>
      </c>
      <c r="AB20" s="23" t="s">
        <v>223</v>
      </c>
      <c r="AC20" s="23" t="s">
        <v>223</v>
      </c>
      <c r="AD20" s="23" t="s">
        <v>223</v>
      </c>
      <c r="AE20" s="23" t="s">
        <v>223</v>
      </c>
      <c r="AF20" s="23" t="s">
        <v>223</v>
      </c>
      <c r="AG20" s="23" t="s">
        <v>223</v>
      </c>
      <c r="AH20" s="23" t="s">
        <v>223</v>
      </c>
      <c r="AI20" s="23" t="s">
        <v>223</v>
      </c>
      <c r="AJ20" s="23" t="s">
        <v>223</v>
      </c>
      <c r="AK20" s="23" t="s">
        <v>223</v>
      </c>
      <c r="AL20" s="23" t="s">
        <v>223</v>
      </c>
      <c r="AM20" s="23" t="s">
        <v>223</v>
      </c>
      <c r="AN20" s="23" t="s">
        <v>223</v>
      </c>
      <c r="AO20" s="23" t="s">
        <v>223</v>
      </c>
      <c r="AP20" s="23" t="s">
        <v>223</v>
      </c>
      <c r="AQ20" s="23" t="s">
        <v>223</v>
      </c>
      <c r="AR20" s="23" t="s">
        <v>223</v>
      </c>
      <c r="AS20" s="23" t="s">
        <v>223</v>
      </c>
      <c r="AT20" s="23" t="s">
        <v>223</v>
      </c>
      <c r="AU20" s="23" t="s">
        <v>223</v>
      </c>
      <c r="AV20" s="23" t="s">
        <v>223</v>
      </c>
      <c r="AW20" s="23" t="s">
        <v>223</v>
      </c>
      <c r="AX20" s="23" t="s">
        <v>223</v>
      </c>
      <c r="AY20" s="23" t="s">
        <v>223</v>
      </c>
      <c r="AZ20" s="23" t="s">
        <v>223</v>
      </c>
      <c r="BA20" s="23" t="s">
        <v>223</v>
      </c>
      <c r="BB20" s="23" t="s">
        <v>223</v>
      </c>
      <c r="BC20" s="23" t="s">
        <v>223</v>
      </c>
      <c r="BD20" s="23" t="s">
        <v>223</v>
      </c>
    </row>
    <row r="21" spans="1:56" ht="17" hidden="1">
      <c r="A21" s="137"/>
      <c r="B21" s="35" t="s">
        <v>297</v>
      </c>
      <c r="C21" s="36">
        <v>0.1</v>
      </c>
      <c r="D21" s="36"/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3" t="s">
        <v>223</v>
      </c>
      <c r="Q21" s="23" t="s">
        <v>223</v>
      </c>
      <c r="R21" s="23" t="s">
        <v>223</v>
      </c>
      <c r="S21" s="23" t="s">
        <v>223</v>
      </c>
      <c r="T21" s="23" t="s">
        <v>223</v>
      </c>
      <c r="U21" s="23" t="s">
        <v>223</v>
      </c>
      <c r="V21" s="23" t="s">
        <v>223</v>
      </c>
      <c r="W21" s="23" t="s">
        <v>223</v>
      </c>
      <c r="X21" s="23" t="s">
        <v>223</v>
      </c>
      <c r="Y21" s="23" t="s">
        <v>223</v>
      </c>
      <c r="Z21" s="23" t="s">
        <v>223</v>
      </c>
      <c r="AA21" s="23" t="s">
        <v>223</v>
      </c>
      <c r="AB21" s="23" t="s">
        <v>223</v>
      </c>
      <c r="AC21" s="23" t="s">
        <v>223</v>
      </c>
      <c r="AD21" s="23" t="s">
        <v>223</v>
      </c>
      <c r="AE21" s="23" t="s">
        <v>223</v>
      </c>
      <c r="AF21" s="23" t="s">
        <v>223</v>
      </c>
      <c r="AG21" s="23" t="s">
        <v>223</v>
      </c>
      <c r="AH21" s="23" t="s">
        <v>223</v>
      </c>
      <c r="AI21" s="23" t="s">
        <v>223</v>
      </c>
      <c r="AJ21" s="23" t="s">
        <v>223</v>
      </c>
      <c r="AK21" s="23" t="s">
        <v>223</v>
      </c>
      <c r="AL21" s="23" t="s">
        <v>223</v>
      </c>
      <c r="AM21" s="23" t="s">
        <v>223</v>
      </c>
      <c r="AN21" s="23" t="s">
        <v>223</v>
      </c>
      <c r="AO21" s="23" t="s">
        <v>223</v>
      </c>
      <c r="AP21" s="23" t="s">
        <v>223</v>
      </c>
      <c r="AQ21" s="23" t="s">
        <v>223</v>
      </c>
      <c r="AR21" s="23" t="s">
        <v>223</v>
      </c>
      <c r="AS21" s="23" t="s">
        <v>223</v>
      </c>
      <c r="AT21" s="23" t="s">
        <v>223</v>
      </c>
      <c r="AU21" s="23" t="s">
        <v>223</v>
      </c>
      <c r="AV21" s="23" t="s">
        <v>223</v>
      </c>
      <c r="AW21" s="23" t="s">
        <v>223</v>
      </c>
      <c r="AX21" s="23" t="s">
        <v>223</v>
      </c>
      <c r="AY21" s="23" t="s">
        <v>223</v>
      </c>
      <c r="AZ21" s="23" t="s">
        <v>223</v>
      </c>
      <c r="BA21" s="23" t="s">
        <v>223</v>
      </c>
      <c r="BB21" s="23" t="s">
        <v>223</v>
      </c>
      <c r="BC21" s="23" t="s">
        <v>223</v>
      </c>
      <c r="BD21" s="23" t="s">
        <v>223</v>
      </c>
    </row>
    <row r="22" spans="1:56" ht="17" hidden="1">
      <c r="A22" s="137"/>
      <c r="B22" s="33" t="s">
        <v>298</v>
      </c>
      <c r="C22" s="37" t="s">
        <v>299</v>
      </c>
      <c r="D22" s="37"/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 t="s">
        <v>223</v>
      </c>
      <c r="Q22" s="23" t="s">
        <v>223</v>
      </c>
      <c r="R22" s="23" t="s">
        <v>223</v>
      </c>
      <c r="S22" s="23" t="s">
        <v>223</v>
      </c>
      <c r="T22" s="23" t="s">
        <v>223</v>
      </c>
      <c r="U22" s="23" t="s">
        <v>223</v>
      </c>
      <c r="V22" s="23" t="s">
        <v>223</v>
      </c>
      <c r="W22" s="23" t="s">
        <v>223</v>
      </c>
      <c r="X22" s="23" t="s">
        <v>223</v>
      </c>
      <c r="Y22" s="23" t="s">
        <v>223</v>
      </c>
      <c r="Z22" s="23" t="s">
        <v>223</v>
      </c>
      <c r="AA22" s="23" t="s">
        <v>223</v>
      </c>
      <c r="AB22" s="23" t="s">
        <v>223</v>
      </c>
      <c r="AC22" s="23" t="s">
        <v>223</v>
      </c>
      <c r="AD22" s="23" t="s">
        <v>223</v>
      </c>
      <c r="AE22" s="23" t="s">
        <v>223</v>
      </c>
      <c r="AF22" s="23" t="s">
        <v>223</v>
      </c>
      <c r="AG22" s="23" t="s">
        <v>223</v>
      </c>
      <c r="AH22" s="23" t="s">
        <v>223</v>
      </c>
      <c r="AI22" s="23" t="s">
        <v>223</v>
      </c>
      <c r="AJ22" s="23" t="s">
        <v>223</v>
      </c>
      <c r="AK22" s="23" t="s">
        <v>223</v>
      </c>
      <c r="AL22" s="23" t="s">
        <v>223</v>
      </c>
      <c r="AM22" s="23" t="s">
        <v>223</v>
      </c>
      <c r="AN22" s="23" t="s">
        <v>223</v>
      </c>
      <c r="AO22" s="23" t="s">
        <v>223</v>
      </c>
      <c r="AP22" s="23" t="s">
        <v>223</v>
      </c>
      <c r="AQ22" s="23" t="s">
        <v>223</v>
      </c>
      <c r="AR22" s="23" t="s">
        <v>223</v>
      </c>
      <c r="AS22" s="23" t="s">
        <v>223</v>
      </c>
      <c r="AT22" s="23" t="s">
        <v>223</v>
      </c>
      <c r="AU22" s="23" t="s">
        <v>223</v>
      </c>
      <c r="AV22" s="23" t="s">
        <v>223</v>
      </c>
      <c r="AW22" s="23" t="s">
        <v>223</v>
      </c>
      <c r="AX22" s="23" t="s">
        <v>223</v>
      </c>
      <c r="AY22" s="23" t="s">
        <v>223</v>
      </c>
      <c r="AZ22" s="23" t="s">
        <v>223</v>
      </c>
      <c r="BA22" s="23" t="s">
        <v>223</v>
      </c>
      <c r="BB22" s="23" t="s">
        <v>223</v>
      </c>
      <c r="BC22" s="23" t="s">
        <v>223</v>
      </c>
      <c r="BD22" s="23" t="s">
        <v>223</v>
      </c>
    </row>
    <row r="23" spans="1:56" ht="17" hidden="1">
      <c r="A23" s="137"/>
      <c r="B23" s="38" t="s">
        <v>300</v>
      </c>
      <c r="C23" s="39" t="s">
        <v>299</v>
      </c>
      <c r="D23" s="39"/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 t="s">
        <v>223</v>
      </c>
      <c r="Q23" s="32" t="s">
        <v>223</v>
      </c>
      <c r="R23" s="32" t="s">
        <v>223</v>
      </c>
      <c r="S23" s="32" t="s">
        <v>223</v>
      </c>
      <c r="T23" s="32" t="s">
        <v>223</v>
      </c>
      <c r="U23" s="32" t="s">
        <v>223</v>
      </c>
      <c r="V23" s="32" t="s">
        <v>223</v>
      </c>
      <c r="W23" s="32" t="s">
        <v>223</v>
      </c>
      <c r="X23" s="32" t="s">
        <v>223</v>
      </c>
      <c r="Y23" s="32" t="s">
        <v>223</v>
      </c>
      <c r="Z23" s="32" t="s">
        <v>223</v>
      </c>
      <c r="AA23" s="32" t="s">
        <v>223</v>
      </c>
      <c r="AB23" s="32" t="s">
        <v>223</v>
      </c>
      <c r="AC23" s="32" t="s">
        <v>223</v>
      </c>
      <c r="AD23" s="32" t="s">
        <v>223</v>
      </c>
      <c r="AE23" s="32" t="s">
        <v>223</v>
      </c>
      <c r="AF23" s="32" t="s">
        <v>223</v>
      </c>
      <c r="AG23" s="32" t="s">
        <v>223</v>
      </c>
      <c r="AH23" s="32" t="s">
        <v>223</v>
      </c>
      <c r="AI23" s="32" t="s">
        <v>223</v>
      </c>
      <c r="AJ23" s="32" t="s">
        <v>223</v>
      </c>
      <c r="AK23" s="32" t="s">
        <v>223</v>
      </c>
      <c r="AL23" s="32" t="s">
        <v>223</v>
      </c>
      <c r="AM23" s="32" t="s">
        <v>223</v>
      </c>
      <c r="AN23" s="32" t="s">
        <v>223</v>
      </c>
      <c r="AO23" s="32" t="s">
        <v>223</v>
      </c>
      <c r="AP23" s="32" t="s">
        <v>223</v>
      </c>
      <c r="AQ23" s="32" t="s">
        <v>223</v>
      </c>
      <c r="AR23" s="32" t="s">
        <v>223</v>
      </c>
      <c r="AS23" s="32" t="s">
        <v>223</v>
      </c>
      <c r="AT23" s="32" t="s">
        <v>223</v>
      </c>
      <c r="AU23" s="32" t="s">
        <v>223</v>
      </c>
      <c r="AV23" s="32" t="s">
        <v>223</v>
      </c>
      <c r="AW23" s="32" t="s">
        <v>223</v>
      </c>
      <c r="AX23" s="32" t="s">
        <v>223</v>
      </c>
      <c r="AY23" s="32" t="s">
        <v>223</v>
      </c>
      <c r="AZ23" s="32" t="s">
        <v>223</v>
      </c>
      <c r="BA23" s="32" t="s">
        <v>223</v>
      </c>
      <c r="BB23" s="32" t="s">
        <v>223</v>
      </c>
      <c r="BC23" s="32" t="s">
        <v>223</v>
      </c>
      <c r="BD23" s="32" t="s">
        <v>223</v>
      </c>
    </row>
    <row r="24" spans="1:56" ht="17" hidden="1">
      <c r="A24" s="138" t="s">
        <v>301</v>
      </c>
      <c r="B24" s="25" t="s">
        <v>302</v>
      </c>
      <c r="C24" s="29">
        <f>C18/C19</f>
        <v>62493.75</v>
      </c>
      <c r="D24" s="29"/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 t="s">
        <v>223</v>
      </c>
      <c r="AL24" s="23" t="s">
        <v>223</v>
      </c>
      <c r="AM24" s="23" t="s">
        <v>223</v>
      </c>
      <c r="AN24" s="23" t="s">
        <v>223</v>
      </c>
      <c r="AO24" s="23" t="s">
        <v>223</v>
      </c>
      <c r="AP24" s="23" t="s">
        <v>223</v>
      </c>
      <c r="AQ24" s="23" t="s">
        <v>223</v>
      </c>
      <c r="AR24" s="23" t="s">
        <v>223</v>
      </c>
      <c r="AS24" s="23" t="s">
        <v>223</v>
      </c>
      <c r="AT24" s="23" t="s">
        <v>223</v>
      </c>
      <c r="AU24" s="23" t="s">
        <v>223</v>
      </c>
      <c r="AV24" s="23" t="s">
        <v>223</v>
      </c>
      <c r="AW24" s="23" t="s">
        <v>223</v>
      </c>
      <c r="AX24" s="23" t="s">
        <v>223</v>
      </c>
      <c r="AY24" s="23" t="s">
        <v>223</v>
      </c>
      <c r="AZ24" s="23" t="s">
        <v>223</v>
      </c>
      <c r="BA24" s="23" t="s">
        <v>223</v>
      </c>
      <c r="BB24" s="23" t="s">
        <v>223</v>
      </c>
      <c r="BC24" s="23" t="s">
        <v>223</v>
      </c>
      <c r="BD24" s="23" t="s">
        <v>223</v>
      </c>
    </row>
    <row r="25" spans="1:56" ht="17" hidden="1">
      <c r="A25" s="139"/>
      <c r="B25" s="33" t="s">
        <v>303</v>
      </c>
      <c r="C25" s="40">
        <v>250</v>
      </c>
      <c r="D25" s="40"/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 t="s">
        <v>223</v>
      </c>
      <c r="AL25" s="23" t="s">
        <v>223</v>
      </c>
      <c r="AM25" s="23" t="s">
        <v>223</v>
      </c>
      <c r="AN25" s="23" t="s">
        <v>223</v>
      </c>
      <c r="AO25" s="23" t="s">
        <v>223</v>
      </c>
      <c r="AP25" s="23" t="s">
        <v>223</v>
      </c>
      <c r="AQ25" s="23" t="s">
        <v>223</v>
      </c>
      <c r="AR25" s="23" t="s">
        <v>223</v>
      </c>
      <c r="AS25" s="23" t="s">
        <v>223</v>
      </c>
      <c r="AT25" s="23" t="s">
        <v>223</v>
      </c>
      <c r="AU25" s="23" t="s">
        <v>223</v>
      </c>
      <c r="AV25" s="23" t="s">
        <v>223</v>
      </c>
      <c r="AW25" s="23" t="s">
        <v>223</v>
      </c>
      <c r="AX25" s="23" t="s">
        <v>223</v>
      </c>
      <c r="AY25" s="23" t="s">
        <v>223</v>
      </c>
      <c r="AZ25" s="23" t="s">
        <v>223</v>
      </c>
      <c r="BA25" s="23" t="s">
        <v>223</v>
      </c>
      <c r="BB25" s="23" t="s">
        <v>223</v>
      </c>
      <c r="BC25" s="23" t="s">
        <v>223</v>
      </c>
      <c r="BD25" s="23" t="s">
        <v>223</v>
      </c>
    </row>
    <row r="26" spans="1:56" ht="17" hidden="1">
      <c r="A26" s="139"/>
      <c r="B26" s="33" t="s">
        <v>304</v>
      </c>
      <c r="C26" s="41">
        <v>5.0000000000000001E-3</v>
      </c>
      <c r="D26" s="41"/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3" t="s">
        <v>223</v>
      </c>
      <c r="AL26" s="23" t="s">
        <v>223</v>
      </c>
      <c r="AM26" s="23" t="s">
        <v>223</v>
      </c>
      <c r="AN26" s="23" t="s">
        <v>223</v>
      </c>
      <c r="AO26" s="23" t="s">
        <v>223</v>
      </c>
      <c r="AP26" s="23" t="s">
        <v>223</v>
      </c>
      <c r="AQ26" s="23" t="s">
        <v>223</v>
      </c>
      <c r="AR26" s="23" t="s">
        <v>223</v>
      </c>
      <c r="AS26" s="23" t="s">
        <v>223</v>
      </c>
      <c r="AT26" s="23" t="s">
        <v>223</v>
      </c>
      <c r="AU26" s="23" t="s">
        <v>223</v>
      </c>
      <c r="AV26" s="23" t="s">
        <v>223</v>
      </c>
      <c r="AW26" s="23" t="s">
        <v>223</v>
      </c>
      <c r="AX26" s="23" t="s">
        <v>223</v>
      </c>
      <c r="AY26" s="23" t="s">
        <v>223</v>
      </c>
      <c r="AZ26" s="23" t="s">
        <v>223</v>
      </c>
      <c r="BA26" s="23" t="s">
        <v>223</v>
      </c>
      <c r="BB26" s="23" t="s">
        <v>223</v>
      </c>
      <c r="BC26" s="23" t="s">
        <v>223</v>
      </c>
      <c r="BD26" s="23" t="s">
        <v>223</v>
      </c>
    </row>
    <row r="27" spans="1:56" ht="17" hidden="1">
      <c r="A27" s="139"/>
      <c r="B27" s="33" t="s">
        <v>305</v>
      </c>
      <c r="C27" s="23" t="s">
        <v>223</v>
      </c>
      <c r="D27" s="23"/>
      <c r="E27" s="23" t="s">
        <v>223</v>
      </c>
      <c r="F27" s="23" t="s">
        <v>223</v>
      </c>
      <c r="G27" s="23" t="s">
        <v>223</v>
      </c>
      <c r="H27" s="23" t="s">
        <v>223</v>
      </c>
      <c r="I27" s="23" t="s">
        <v>223</v>
      </c>
      <c r="J27" s="23" t="s">
        <v>223</v>
      </c>
      <c r="K27" s="23" t="s">
        <v>223</v>
      </c>
      <c r="L27" s="23" t="s">
        <v>223</v>
      </c>
      <c r="M27" s="23" t="s">
        <v>223</v>
      </c>
      <c r="N27" s="23" t="s">
        <v>223</v>
      </c>
      <c r="O27" s="23" t="s">
        <v>223</v>
      </c>
      <c r="P27" s="23" t="s">
        <v>223</v>
      </c>
      <c r="Q27" s="23" t="s">
        <v>223</v>
      </c>
      <c r="R27" s="23" t="s">
        <v>223</v>
      </c>
      <c r="S27" s="23" t="s">
        <v>223</v>
      </c>
      <c r="T27" s="23" t="s">
        <v>223</v>
      </c>
      <c r="U27" s="23" t="s">
        <v>223</v>
      </c>
      <c r="V27" s="23" t="s">
        <v>223</v>
      </c>
      <c r="W27" s="23" t="s">
        <v>223</v>
      </c>
      <c r="X27" s="23" t="s">
        <v>223</v>
      </c>
      <c r="Y27" s="23" t="s">
        <v>223</v>
      </c>
      <c r="Z27" s="23" t="s">
        <v>223</v>
      </c>
      <c r="AA27" s="23" t="s">
        <v>223</v>
      </c>
      <c r="AB27" s="23" t="s">
        <v>223</v>
      </c>
      <c r="AC27" s="23" t="s">
        <v>223</v>
      </c>
      <c r="AD27" s="23" t="s">
        <v>223</v>
      </c>
      <c r="AE27" s="23" t="s">
        <v>223</v>
      </c>
      <c r="AF27" s="23" t="s">
        <v>223</v>
      </c>
      <c r="AG27" s="23" t="s">
        <v>223</v>
      </c>
      <c r="AH27" s="23" t="s">
        <v>223</v>
      </c>
      <c r="AI27" s="23" t="s">
        <v>223</v>
      </c>
      <c r="AJ27" s="23" t="s">
        <v>223</v>
      </c>
      <c r="AK27" s="23" t="s">
        <v>223</v>
      </c>
      <c r="AL27" s="23" t="s">
        <v>223</v>
      </c>
      <c r="AM27" s="23" t="s">
        <v>223</v>
      </c>
      <c r="AN27" s="23" t="s">
        <v>223</v>
      </c>
      <c r="AO27" s="23" t="s">
        <v>223</v>
      </c>
      <c r="AP27" s="23" t="s">
        <v>223</v>
      </c>
      <c r="AQ27" s="23" t="s">
        <v>223</v>
      </c>
      <c r="AR27" s="23" t="s">
        <v>223</v>
      </c>
      <c r="AS27" s="23" t="s">
        <v>223</v>
      </c>
      <c r="AT27" s="23" t="s">
        <v>223</v>
      </c>
      <c r="AU27" s="23" t="s">
        <v>223</v>
      </c>
      <c r="AV27" s="23" t="s">
        <v>223</v>
      </c>
      <c r="AW27" s="23" t="s">
        <v>223</v>
      </c>
      <c r="AX27" s="23" t="s">
        <v>223</v>
      </c>
      <c r="AY27" s="23" t="s">
        <v>223</v>
      </c>
      <c r="AZ27" s="23" t="s">
        <v>223</v>
      </c>
      <c r="BA27" s="23" t="s">
        <v>223</v>
      </c>
      <c r="BB27" s="23" t="s">
        <v>223</v>
      </c>
      <c r="BC27" s="23" t="s">
        <v>223</v>
      </c>
      <c r="BD27" s="23" t="s">
        <v>223</v>
      </c>
    </row>
    <row r="28" spans="1:56" ht="17" hidden="1">
      <c r="A28" s="139"/>
      <c r="B28" s="33" t="s">
        <v>306</v>
      </c>
      <c r="C28" s="23">
        <v>240</v>
      </c>
      <c r="D28" s="23"/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23" t="s">
        <v>223</v>
      </c>
      <c r="AL28" s="23" t="s">
        <v>223</v>
      </c>
      <c r="AM28" s="23" t="s">
        <v>223</v>
      </c>
      <c r="AN28" s="23" t="s">
        <v>223</v>
      </c>
      <c r="AO28" s="23" t="s">
        <v>223</v>
      </c>
      <c r="AP28" s="23" t="s">
        <v>223</v>
      </c>
      <c r="AQ28" s="23" t="s">
        <v>223</v>
      </c>
      <c r="AR28" s="23" t="s">
        <v>223</v>
      </c>
      <c r="AS28" s="23" t="s">
        <v>223</v>
      </c>
      <c r="AT28" s="23" t="s">
        <v>223</v>
      </c>
      <c r="AU28" s="23" t="s">
        <v>223</v>
      </c>
      <c r="AV28" s="23" t="s">
        <v>223</v>
      </c>
      <c r="AW28" s="23" t="s">
        <v>223</v>
      </c>
      <c r="AX28" s="23" t="s">
        <v>223</v>
      </c>
      <c r="AY28" s="23" t="s">
        <v>223</v>
      </c>
      <c r="AZ28" s="23" t="s">
        <v>223</v>
      </c>
      <c r="BA28" s="23" t="s">
        <v>223</v>
      </c>
      <c r="BB28" s="23" t="s">
        <v>223</v>
      </c>
      <c r="BC28" s="23" t="s">
        <v>223</v>
      </c>
      <c r="BD28" s="23" t="s">
        <v>223</v>
      </c>
    </row>
    <row r="29" spans="1:56" ht="17" hidden="1">
      <c r="A29" s="139"/>
      <c r="B29" s="42" t="s">
        <v>297</v>
      </c>
      <c r="C29" s="43">
        <v>0.1</v>
      </c>
      <c r="D29" s="43"/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3" t="s">
        <v>223</v>
      </c>
      <c r="AL29" s="23" t="s">
        <v>223</v>
      </c>
      <c r="AM29" s="23" t="s">
        <v>223</v>
      </c>
      <c r="AN29" s="23" t="s">
        <v>223</v>
      </c>
      <c r="AO29" s="23" t="s">
        <v>223</v>
      </c>
      <c r="AP29" s="23" t="s">
        <v>223</v>
      </c>
      <c r="AQ29" s="23" t="s">
        <v>223</v>
      </c>
      <c r="AR29" s="23" t="s">
        <v>223</v>
      </c>
      <c r="AS29" s="23" t="s">
        <v>223</v>
      </c>
      <c r="AT29" s="23" t="s">
        <v>223</v>
      </c>
      <c r="AU29" s="23" t="s">
        <v>223</v>
      </c>
      <c r="AV29" s="23" t="s">
        <v>223</v>
      </c>
      <c r="AW29" s="23" t="s">
        <v>223</v>
      </c>
      <c r="AX29" s="23" t="s">
        <v>223</v>
      </c>
      <c r="AY29" s="23" t="s">
        <v>223</v>
      </c>
      <c r="AZ29" s="23" t="s">
        <v>223</v>
      </c>
      <c r="BA29" s="23" t="s">
        <v>223</v>
      </c>
      <c r="BB29" s="23" t="s">
        <v>223</v>
      </c>
      <c r="BC29" s="23" t="s">
        <v>223</v>
      </c>
      <c r="BD29" s="23" t="s">
        <v>223</v>
      </c>
    </row>
    <row r="30" spans="1:56" ht="17" hidden="1">
      <c r="A30" s="139"/>
      <c r="B30" s="42" t="s">
        <v>307</v>
      </c>
      <c r="C30" s="44" t="s">
        <v>299</v>
      </c>
      <c r="D30" s="44"/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 t="s">
        <v>223</v>
      </c>
      <c r="AL30" s="23" t="s">
        <v>223</v>
      </c>
      <c r="AM30" s="23" t="s">
        <v>223</v>
      </c>
      <c r="AN30" s="23" t="s">
        <v>223</v>
      </c>
      <c r="AO30" s="23" t="s">
        <v>223</v>
      </c>
      <c r="AP30" s="23" t="s">
        <v>223</v>
      </c>
      <c r="AQ30" s="23" t="s">
        <v>223</v>
      </c>
      <c r="AR30" s="23" t="s">
        <v>223</v>
      </c>
      <c r="AS30" s="23" t="s">
        <v>223</v>
      </c>
      <c r="AT30" s="23" t="s">
        <v>223</v>
      </c>
      <c r="AU30" s="23" t="s">
        <v>223</v>
      </c>
      <c r="AV30" s="23" t="s">
        <v>223</v>
      </c>
      <c r="AW30" s="23" t="s">
        <v>223</v>
      </c>
      <c r="AX30" s="23" t="s">
        <v>223</v>
      </c>
      <c r="AY30" s="23" t="s">
        <v>223</v>
      </c>
      <c r="AZ30" s="23" t="s">
        <v>223</v>
      </c>
      <c r="BA30" s="23" t="s">
        <v>223</v>
      </c>
      <c r="BB30" s="23" t="s">
        <v>223</v>
      </c>
      <c r="BC30" s="23" t="s">
        <v>223</v>
      </c>
      <c r="BD30" s="23" t="s">
        <v>223</v>
      </c>
    </row>
    <row r="31" spans="1:56" ht="17" hidden="1">
      <c r="A31" s="139"/>
      <c r="B31" s="25" t="s">
        <v>308</v>
      </c>
      <c r="C31" s="29">
        <f>C24/30</f>
        <v>2083.125</v>
      </c>
      <c r="D31" s="29"/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 t="s">
        <v>223</v>
      </c>
      <c r="AL31" s="23" t="s">
        <v>223</v>
      </c>
      <c r="AM31" s="23" t="s">
        <v>223</v>
      </c>
      <c r="AN31" s="23" t="s">
        <v>223</v>
      </c>
      <c r="AO31" s="23" t="s">
        <v>223</v>
      </c>
      <c r="AP31" s="23" t="s">
        <v>223</v>
      </c>
      <c r="AQ31" s="23" t="s">
        <v>223</v>
      </c>
      <c r="AR31" s="23" t="s">
        <v>223</v>
      </c>
      <c r="AS31" s="23" t="s">
        <v>223</v>
      </c>
      <c r="AT31" s="23" t="s">
        <v>223</v>
      </c>
      <c r="AU31" s="23" t="s">
        <v>223</v>
      </c>
      <c r="AV31" s="23" t="s">
        <v>223</v>
      </c>
      <c r="AW31" s="23" t="s">
        <v>223</v>
      </c>
      <c r="AX31" s="23" t="s">
        <v>223</v>
      </c>
      <c r="AY31" s="23" t="s">
        <v>223</v>
      </c>
      <c r="AZ31" s="23" t="s">
        <v>223</v>
      </c>
      <c r="BA31" s="23" t="s">
        <v>223</v>
      </c>
      <c r="BB31" s="23" t="s">
        <v>223</v>
      </c>
      <c r="BC31" s="23" t="s">
        <v>223</v>
      </c>
      <c r="BD31" s="23" t="s">
        <v>223</v>
      </c>
    </row>
    <row r="32" spans="1:56" ht="17" hidden="1">
      <c r="A32" s="139"/>
      <c r="B32" s="25" t="s">
        <v>309</v>
      </c>
      <c r="C32" s="29">
        <v>0</v>
      </c>
      <c r="D32" s="29"/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 t="s">
        <v>223</v>
      </c>
      <c r="AL32" s="23" t="s">
        <v>223</v>
      </c>
      <c r="AM32" s="23" t="s">
        <v>223</v>
      </c>
      <c r="AN32" s="23" t="s">
        <v>223</v>
      </c>
      <c r="AO32" s="23" t="s">
        <v>223</v>
      </c>
      <c r="AP32" s="23" t="s">
        <v>223</v>
      </c>
      <c r="AQ32" s="23" t="s">
        <v>223</v>
      </c>
      <c r="AR32" s="23" t="s">
        <v>223</v>
      </c>
      <c r="AS32" s="23" t="s">
        <v>223</v>
      </c>
      <c r="AT32" s="23" t="s">
        <v>223</v>
      </c>
      <c r="AU32" s="23" t="s">
        <v>223</v>
      </c>
      <c r="AV32" s="23" t="s">
        <v>223</v>
      </c>
      <c r="AW32" s="23" t="s">
        <v>223</v>
      </c>
      <c r="AX32" s="23" t="s">
        <v>223</v>
      </c>
      <c r="AY32" s="23" t="s">
        <v>223</v>
      </c>
      <c r="AZ32" s="23" t="s">
        <v>223</v>
      </c>
      <c r="BA32" s="23" t="s">
        <v>223</v>
      </c>
      <c r="BB32" s="23" t="s">
        <v>223</v>
      </c>
      <c r="BC32" s="23" t="s">
        <v>223</v>
      </c>
      <c r="BD32" s="23" t="s">
        <v>223</v>
      </c>
    </row>
    <row r="33" spans="1:56" ht="17" hidden="1">
      <c r="A33" s="139"/>
      <c r="B33" s="25" t="s">
        <v>310</v>
      </c>
      <c r="C33" s="29">
        <f>C24/C34</f>
        <v>3124.6875</v>
      </c>
      <c r="D33" s="29"/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23" t="s">
        <v>223</v>
      </c>
      <c r="AL33" s="23" t="s">
        <v>223</v>
      </c>
      <c r="AM33" s="23" t="s">
        <v>223</v>
      </c>
      <c r="AN33" s="23" t="s">
        <v>223</v>
      </c>
      <c r="AO33" s="23" t="s">
        <v>223</v>
      </c>
      <c r="AP33" s="23" t="s">
        <v>223</v>
      </c>
      <c r="AQ33" s="23" t="s">
        <v>223</v>
      </c>
      <c r="AR33" s="23" t="s">
        <v>223</v>
      </c>
      <c r="AS33" s="23" t="s">
        <v>223</v>
      </c>
      <c r="AT33" s="23" t="s">
        <v>223</v>
      </c>
      <c r="AU33" s="23" t="s">
        <v>223</v>
      </c>
      <c r="AV33" s="23" t="s">
        <v>223</v>
      </c>
      <c r="AW33" s="23" t="s">
        <v>223</v>
      </c>
      <c r="AX33" s="23" t="s">
        <v>223</v>
      </c>
      <c r="AY33" s="23" t="s">
        <v>223</v>
      </c>
      <c r="AZ33" s="23" t="s">
        <v>223</v>
      </c>
      <c r="BA33" s="23" t="s">
        <v>223</v>
      </c>
      <c r="BB33" s="23" t="s">
        <v>223</v>
      </c>
      <c r="BC33" s="23" t="s">
        <v>223</v>
      </c>
      <c r="BD33" s="23" t="s">
        <v>223</v>
      </c>
    </row>
    <row r="34" spans="1:56" ht="17" hidden="1">
      <c r="A34" s="140"/>
      <c r="B34" s="30" t="s">
        <v>311</v>
      </c>
      <c r="C34" s="31">
        <v>20</v>
      </c>
      <c r="D34" s="31"/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 t="s">
        <v>223</v>
      </c>
      <c r="AL34" s="32" t="s">
        <v>223</v>
      </c>
      <c r="AM34" s="32" t="s">
        <v>223</v>
      </c>
      <c r="AN34" s="32" t="s">
        <v>223</v>
      </c>
      <c r="AO34" s="32" t="s">
        <v>223</v>
      </c>
      <c r="AP34" s="32" t="s">
        <v>223</v>
      </c>
      <c r="AQ34" s="32" t="s">
        <v>223</v>
      </c>
      <c r="AR34" s="32" t="s">
        <v>223</v>
      </c>
      <c r="AS34" s="32" t="s">
        <v>223</v>
      </c>
      <c r="AT34" s="32" t="s">
        <v>223</v>
      </c>
      <c r="AU34" s="32" t="s">
        <v>223</v>
      </c>
      <c r="AV34" s="32" t="s">
        <v>223</v>
      </c>
      <c r="AW34" s="32" t="s">
        <v>223</v>
      </c>
      <c r="AX34" s="32" t="s">
        <v>223</v>
      </c>
      <c r="AY34" s="32" t="s">
        <v>223</v>
      </c>
      <c r="AZ34" s="32" t="s">
        <v>223</v>
      </c>
      <c r="BA34" s="32" t="s">
        <v>223</v>
      </c>
      <c r="BB34" s="32" t="s">
        <v>223</v>
      </c>
      <c r="BC34" s="32" t="s">
        <v>223</v>
      </c>
      <c r="BD34" s="32" t="s">
        <v>223</v>
      </c>
    </row>
    <row r="35" spans="1:56" ht="17">
      <c r="A35" s="4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</row>
    <row r="36" spans="1:56" ht="17">
      <c r="A36" s="46"/>
      <c r="B36" s="20"/>
      <c r="C36" s="20"/>
      <c r="D36" s="20"/>
      <c r="E36" s="20"/>
      <c r="F36" s="20"/>
      <c r="G36" s="20"/>
      <c r="H36" s="20"/>
      <c r="I36" s="20"/>
      <c r="J36" s="45" t="s">
        <v>223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</row>
    <row r="37" spans="1:56" ht="17">
      <c r="A37" s="46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</row>
    <row r="38" spans="1:56" ht="17">
      <c r="A38" s="46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</row>
    <row r="39" spans="1:56" ht="17">
      <c r="A39" s="4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</row>
    <row r="40" spans="1:56" ht="17">
      <c r="A40" s="4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</row>
    <row r="41" spans="1:56" ht="17">
      <c r="A41" s="46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</row>
    <row r="42" spans="1:56" ht="17">
      <c r="A42" s="46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</row>
    <row r="43" spans="1:56" ht="17">
      <c r="A43" s="46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</row>
    <row r="44" spans="1:56" ht="17">
      <c r="A44" s="46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</row>
    <row r="45" spans="1:56" ht="17">
      <c r="A45" s="4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</row>
    <row r="46" spans="1:56" ht="17">
      <c r="A46" s="4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</row>
    <row r="47" spans="1:56" ht="17">
      <c r="A47" s="4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</row>
    <row r="48" spans="1:56" ht="17">
      <c r="A48" s="4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 t="s">
        <v>312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</row>
    <row r="49" spans="1:56" ht="17">
      <c r="A49" s="46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</row>
    <row r="50" spans="1:56" ht="17">
      <c r="A50" s="46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</row>
    <row r="51" spans="1:56" ht="17">
      <c r="A51" s="46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</row>
    <row r="52" spans="1:56" ht="17">
      <c r="A52" s="46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</row>
    <row r="53" spans="1:56" ht="17">
      <c r="A53" s="46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</row>
    <row r="54" spans="1:56" ht="17">
      <c r="A54" s="4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</row>
    <row r="55" spans="1:56" ht="17">
      <c r="A55" s="46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</row>
    <row r="56" spans="1:56" ht="17">
      <c r="A56" s="46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</row>
    <row r="57" spans="1:56" ht="17">
      <c r="A57" s="46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</row>
    <row r="58" spans="1:56" ht="17">
      <c r="A58" s="46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</row>
    <row r="59" spans="1:56" ht="17">
      <c r="A59" s="46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</row>
    <row r="60" spans="1:56" ht="17">
      <c r="A60" s="46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</row>
    <row r="61" spans="1:56" ht="17">
      <c r="A61" s="46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</row>
    <row r="62" spans="1:56" ht="17">
      <c r="A62" s="4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</row>
    <row r="63" spans="1:56" ht="17">
      <c r="A63" s="4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</row>
    <row r="64" spans="1:56" ht="17">
      <c r="A64" s="46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</row>
    <row r="65" spans="1:56" ht="17">
      <c r="A65" s="46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</row>
    <row r="66" spans="1:56" ht="17">
      <c r="A66" s="46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</row>
    <row r="67" spans="1:56" ht="17">
      <c r="A67" s="46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</row>
    <row r="68" spans="1:56" ht="17">
      <c r="A68" s="46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</row>
    <row r="69" spans="1:56" ht="17">
      <c r="A69" s="46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</row>
    <row r="70" spans="1:56" ht="17">
      <c r="A70" s="46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</row>
    <row r="71" spans="1:56" ht="17">
      <c r="A71" s="46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spans="1:56" ht="17">
      <c r="A72" s="46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</row>
    <row r="73" spans="1:56" ht="17">
      <c r="A73" s="46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</row>
    <row r="74" spans="1:56" ht="17">
      <c r="A74" s="46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</row>
    <row r="75" spans="1:56" ht="17">
      <c r="A75" s="46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</row>
    <row r="76" spans="1:56" ht="17">
      <c r="A76" s="46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</row>
    <row r="77" spans="1:56" ht="17">
      <c r="A77" s="46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</row>
    <row r="78" spans="1:56" ht="17">
      <c r="A78" s="4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</row>
    <row r="79" spans="1:56" ht="17">
      <c r="A79" s="46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</row>
    <row r="80" spans="1:56" ht="17">
      <c r="A80" s="46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</row>
    <row r="81" spans="1:56" ht="17">
      <c r="A81" s="46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</row>
    <row r="82" spans="1:56" ht="17">
      <c r="A82" s="46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</row>
    <row r="83" spans="1:56" ht="17">
      <c r="A83" s="46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</row>
    <row r="84" spans="1:56" ht="17">
      <c r="A84" s="46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</row>
    <row r="85" spans="1:56" ht="17">
      <c r="A85" s="46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</row>
    <row r="86" spans="1:56" ht="17">
      <c r="A86" s="46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</row>
    <row r="87" spans="1:56" ht="17">
      <c r="A87" s="46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</row>
    <row r="88" spans="1:56" ht="17">
      <c r="A88" s="46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</row>
    <row r="89" spans="1:56" ht="17">
      <c r="A89" s="46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</row>
    <row r="90" spans="1:56" ht="17">
      <c r="A90" s="46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</row>
    <row r="91" spans="1:56" ht="17">
      <c r="A91" s="46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</row>
    <row r="92" spans="1:56" ht="17">
      <c r="A92" s="46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</row>
    <row r="93" spans="1:56" ht="17">
      <c r="A93" s="46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</row>
    <row r="94" spans="1:56" ht="17">
      <c r="A94" s="46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</row>
    <row r="95" spans="1:56" ht="17">
      <c r="A95" s="46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</row>
    <row r="96" spans="1:56" ht="17">
      <c r="A96" s="46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</row>
    <row r="97" spans="1:56" ht="17">
      <c r="A97" s="46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</row>
    <row r="98" spans="1:56" ht="17">
      <c r="A98" s="46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</row>
    <row r="99" spans="1:56" ht="17">
      <c r="A99" s="46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 spans="1:56" ht="17">
      <c r="A100" s="46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</row>
    <row r="101" spans="1:56" ht="17">
      <c r="A101" s="46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</row>
    <row r="102" spans="1:56" ht="17">
      <c r="A102" s="46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</row>
    <row r="103" spans="1:56" ht="17">
      <c r="A103" s="46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</row>
    <row r="104" spans="1:56" ht="17">
      <c r="A104" s="46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</row>
    <row r="105" spans="1:56" ht="17">
      <c r="A105" s="46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</row>
    <row r="106" spans="1:56" ht="17">
      <c r="A106" s="46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</row>
    <row r="107" spans="1:56" ht="17">
      <c r="A107" s="46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</row>
    <row r="108" spans="1:56" ht="17">
      <c r="A108" s="46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</row>
    <row r="109" spans="1:56" ht="17">
      <c r="A109" s="46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</row>
    <row r="110" spans="1:56" ht="17">
      <c r="A110" s="46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</row>
    <row r="111" spans="1:56" ht="17">
      <c r="A111" s="46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</row>
    <row r="112" spans="1:56" ht="17">
      <c r="A112" s="46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</row>
    <row r="113" spans="1:56" ht="17">
      <c r="A113" s="46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</row>
    <row r="114" spans="1:56" ht="17">
      <c r="A114" s="46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</row>
    <row r="115" spans="1:56" ht="17">
      <c r="A115" s="46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</row>
    <row r="116" spans="1:56" ht="17">
      <c r="A116" s="46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</row>
    <row r="117" spans="1:56" ht="17">
      <c r="A117" s="46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</row>
    <row r="118" spans="1:56" ht="17">
      <c r="A118" s="46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</row>
    <row r="119" spans="1:56" ht="17">
      <c r="A119" s="46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</row>
    <row r="120" spans="1:56" ht="17">
      <c r="A120" s="46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</row>
    <row r="121" spans="1:56" ht="17">
      <c r="A121" s="46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</row>
    <row r="122" spans="1:56" ht="17">
      <c r="A122" s="46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</row>
    <row r="123" spans="1:56" ht="17">
      <c r="A123" s="46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</row>
    <row r="124" spans="1:56" ht="17">
      <c r="A124" s="46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</row>
    <row r="125" spans="1:56" ht="17">
      <c r="A125" s="46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</row>
    <row r="126" spans="1:56" ht="17">
      <c r="A126" s="46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</row>
    <row r="127" spans="1:56" ht="17">
      <c r="A127" s="46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</row>
    <row r="128" spans="1:56" ht="17">
      <c r="A128" s="46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</row>
    <row r="129" spans="1:56" ht="17">
      <c r="A129" s="46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</row>
    <row r="130" spans="1:56" ht="17">
      <c r="A130" s="46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</row>
    <row r="131" spans="1:56" ht="17">
      <c r="A131" s="46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</row>
    <row r="132" spans="1:56" ht="17">
      <c r="A132" s="46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</row>
    <row r="133" spans="1:56" ht="17">
      <c r="A133" s="46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</row>
    <row r="134" spans="1:56" ht="17">
      <c r="A134" s="46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</row>
    <row r="135" spans="1:56" ht="17">
      <c r="A135" s="46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</row>
    <row r="136" spans="1:56" ht="17">
      <c r="A136" s="46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</row>
    <row r="137" spans="1:56" ht="17">
      <c r="A137" s="46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</row>
    <row r="138" spans="1:56" ht="17">
      <c r="A138" s="46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</row>
    <row r="139" spans="1:56" ht="17">
      <c r="A139" s="46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</row>
    <row r="140" spans="1:56" ht="17">
      <c r="A140" s="46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</row>
    <row r="141" spans="1:56" ht="17">
      <c r="A141" s="46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</row>
    <row r="142" spans="1:56" ht="17">
      <c r="A142" s="46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</row>
    <row r="143" spans="1:56" ht="17">
      <c r="A143" s="46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</row>
    <row r="144" spans="1:56" ht="17">
      <c r="A144" s="46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</row>
    <row r="145" spans="1:56" ht="17">
      <c r="A145" s="46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</row>
    <row r="146" spans="1:56" ht="17">
      <c r="A146" s="46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</row>
    <row r="147" spans="1:56" ht="17">
      <c r="A147" s="46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</row>
    <row r="148" spans="1:56" ht="17">
      <c r="A148" s="46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</row>
    <row r="149" spans="1:56" ht="17">
      <c r="A149" s="46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</row>
    <row r="150" spans="1:56" ht="17">
      <c r="A150" s="46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</row>
    <row r="151" spans="1:56" ht="17">
      <c r="A151" s="46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</row>
    <row r="152" spans="1:56" ht="17">
      <c r="A152" s="46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</row>
    <row r="153" spans="1:56" ht="17">
      <c r="A153" s="46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</row>
    <row r="154" spans="1:56" ht="17">
      <c r="A154" s="46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</row>
    <row r="155" spans="1:56" ht="17">
      <c r="A155" s="46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</row>
    <row r="156" spans="1:56" ht="17">
      <c r="A156" s="46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</row>
    <row r="157" spans="1:56" ht="17">
      <c r="A157" s="46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</row>
    <row r="158" spans="1:56" ht="17">
      <c r="A158" s="46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</row>
    <row r="159" spans="1:56" ht="17">
      <c r="A159" s="46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</row>
    <row r="160" spans="1:56" ht="17">
      <c r="A160" s="46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</row>
    <row r="161" spans="1:56" ht="17">
      <c r="A161" s="46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</row>
    <row r="162" spans="1:56" ht="17">
      <c r="A162" s="46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</row>
    <row r="163" spans="1:56" ht="17">
      <c r="A163" s="46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</row>
    <row r="164" spans="1:56" ht="17">
      <c r="A164" s="46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</row>
    <row r="165" spans="1:56" ht="17">
      <c r="A165" s="46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</row>
    <row r="166" spans="1:56" ht="17">
      <c r="A166" s="46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</row>
    <row r="167" spans="1:56" ht="17">
      <c r="A167" s="46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</row>
    <row r="168" spans="1:56" ht="17">
      <c r="A168" s="46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</row>
    <row r="169" spans="1:56" ht="17">
      <c r="A169" s="46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</row>
    <row r="170" spans="1:56" ht="17">
      <c r="A170" s="46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</row>
    <row r="171" spans="1:56" ht="17">
      <c r="A171" s="46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</row>
    <row r="172" spans="1:56" ht="17">
      <c r="A172" s="46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</row>
    <row r="173" spans="1:56" ht="17">
      <c r="A173" s="46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</row>
    <row r="174" spans="1:56" ht="17">
      <c r="A174" s="46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</row>
    <row r="175" spans="1:56" ht="17">
      <c r="A175" s="46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</row>
    <row r="176" spans="1:56" ht="17">
      <c r="A176" s="46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</row>
    <row r="177" spans="1:56" ht="17">
      <c r="A177" s="46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</row>
    <row r="178" spans="1:56" ht="17">
      <c r="A178" s="46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</row>
    <row r="179" spans="1:56" ht="17">
      <c r="A179" s="46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</row>
    <row r="180" spans="1:56" ht="17">
      <c r="A180" s="46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</row>
    <row r="181" spans="1:56" ht="17">
      <c r="A181" s="46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</row>
    <row r="182" spans="1:56" ht="17">
      <c r="A182" s="46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</row>
    <row r="183" spans="1:56" ht="17">
      <c r="A183" s="46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</row>
    <row r="184" spans="1:56" ht="17">
      <c r="A184" s="46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</row>
    <row r="185" spans="1:56" ht="17">
      <c r="A185" s="46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</row>
    <row r="186" spans="1:56" ht="17">
      <c r="A186" s="46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</row>
    <row r="187" spans="1:56" ht="17">
      <c r="A187" s="46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</row>
    <row r="188" spans="1:56" ht="17">
      <c r="A188" s="46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</row>
    <row r="189" spans="1:56" ht="17">
      <c r="A189" s="46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</row>
    <row r="190" spans="1:56" ht="17">
      <c r="A190" s="46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</row>
    <row r="191" spans="1:56" ht="17">
      <c r="A191" s="46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</row>
    <row r="192" spans="1:56" ht="17">
      <c r="A192" s="46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</row>
    <row r="193" spans="1:56" ht="17">
      <c r="A193" s="46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</row>
    <row r="194" spans="1:56" ht="17">
      <c r="A194" s="46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</row>
    <row r="195" spans="1:56" ht="17">
      <c r="A195" s="46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</row>
    <row r="196" spans="1:56" ht="17">
      <c r="A196" s="46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</row>
    <row r="197" spans="1:56" ht="17">
      <c r="A197" s="46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</row>
    <row r="198" spans="1:56" ht="17">
      <c r="A198" s="46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</row>
    <row r="199" spans="1:56" ht="17">
      <c r="A199" s="46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</row>
    <row r="200" spans="1:56" ht="17">
      <c r="A200" s="46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</row>
    <row r="201" spans="1:56" ht="17">
      <c r="A201" s="46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</row>
    <row r="202" spans="1:56" ht="17">
      <c r="A202" s="46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</row>
    <row r="203" spans="1:56" ht="17">
      <c r="A203" s="46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</row>
    <row r="204" spans="1:56" ht="17">
      <c r="A204" s="46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</row>
    <row r="205" spans="1:56" ht="17">
      <c r="A205" s="46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</row>
    <row r="206" spans="1:56" ht="17">
      <c r="A206" s="46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</row>
    <row r="207" spans="1:56" ht="17">
      <c r="A207" s="46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</row>
    <row r="208" spans="1:56" ht="17">
      <c r="A208" s="46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</row>
    <row r="209" spans="1:56" ht="17">
      <c r="A209" s="46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</row>
    <row r="210" spans="1:56" ht="17">
      <c r="A210" s="46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</row>
    <row r="211" spans="1:56" ht="17">
      <c r="A211" s="46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</row>
    <row r="212" spans="1:56" ht="17">
      <c r="A212" s="46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</row>
    <row r="213" spans="1:56" ht="17">
      <c r="A213" s="46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</row>
    <row r="214" spans="1:56" ht="17">
      <c r="A214" s="46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</row>
    <row r="215" spans="1:56" ht="17">
      <c r="A215" s="46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</row>
    <row r="216" spans="1:56" ht="17">
      <c r="A216" s="46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</row>
    <row r="217" spans="1:56" ht="17">
      <c r="A217" s="46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</row>
    <row r="218" spans="1:56" ht="17">
      <c r="A218" s="46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</row>
    <row r="219" spans="1:56" ht="17">
      <c r="A219" s="46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</row>
    <row r="220" spans="1:56" ht="17">
      <c r="A220" s="46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</row>
    <row r="221" spans="1:56" ht="17">
      <c r="A221" s="46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</row>
    <row r="222" spans="1:56" ht="17">
      <c r="A222" s="46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</row>
    <row r="223" spans="1:56" ht="17">
      <c r="A223" s="46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</row>
    <row r="224" spans="1:56" ht="17">
      <c r="A224" s="46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</row>
    <row r="225" spans="1:56" ht="17">
      <c r="A225" s="46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</row>
    <row r="226" spans="1:56" ht="17">
      <c r="A226" s="46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</row>
    <row r="227" spans="1:56" ht="17">
      <c r="A227" s="46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</row>
    <row r="228" spans="1:56" ht="17">
      <c r="A228" s="46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</row>
    <row r="229" spans="1:56" ht="17">
      <c r="A229" s="46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</row>
    <row r="230" spans="1:56" ht="17">
      <c r="A230" s="46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</row>
    <row r="231" spans="1:56" ht="17">
      <c r="A231" s="46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</row>
    <row r="232" spans="1:56" ht="17">
      <c r="A232" s="46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</row>
    <row r="233" spans="1:56" ht="17">
      <c r="A233" s="46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</row>
    <row r="234" spans="1:56" ht="17">
      <c r="A234" s="46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</row>
    <row r="235" spans="1:56" ht="17">
      <c r="A235" s="46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</row>
    <row r="236" spans="1:56" ht="17">
      <c r="A236" s="46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</row>
    <row r="237" spans="1:56" ht="17">
      <c r="A237" s="46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</row>
    <row r="238" spans="1:56" ht="17">
      <c r="A238" s="46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</row>
    <row r="239" spans="1:56" ht="17">
      <c r="A239" s="46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</row>
    <row r="240" spans="1:56" ht="17">
      <c r="A240" s="46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</row>
    <row r="241" spans="1:56" ht="17">
      <c r="A241" s="46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</row>
    <row r="242" spans="1:56" ht="17">
      <c r="A242" s="46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</row>
    <row r="243" spans="1:56" ht="17">
      <c r="A243" s="46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</row>
    <row r="244" spans="1:56" ht="17">
      <c r="A244" s="46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</row>
    <row r="245" spans="1:56" ht="17">
      <c r="A245" s="46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</row>
    <row r="246" spans="1:56" ht="17">
      <c r="A246" s="46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</row>
    <row r="247" spans="1:56" ht="17">
      <c r="A247" s="46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</row>
    <row r="248" spans="1:56" ht="17">
      <c r="A248" s="46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</row>
    <row r="249" spans="1:56" ht="17">
      <c r="A249" s="46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</row>
    <row r="250" spans="1:56" ht="17">
      <c r="A250" s="46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</row>
    <row r="251" spans="1:56" ht="17">
      <c r="A251" s="46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</row>
    <row r="252" spans="1:56" ht="17">
      <c r="A252" s="46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</row>
    <row r="253" spans="1:56" ht="17">
      <c r="A253" s="46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</row>
    <row r="254" spans="1:56" ht="17">
      <c r="A254" s="46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</row>
    <row r="255" spans="1:56" ht="17">
      <c r="A255" s="46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</row>
    <row r="256" spans="1:56" ht="17">
      <c r="A256" s="46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</row>
    <row r="257" spans="1:56" ht="17">
      <c r="A257" s="46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</row>
    <row r="258" spans="1:56" ht="17">
      <c r="A258" s="46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</row>
    <row r="259" spans="1:56" ht="17">
      <c r="A259" s="46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</row>
    <row r="260" spans="1:56" ht="17">
      <c r="A260" s="46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</row>
    <row r="261" spans="1:56" ht="17">
      <c r="A261" s="46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</row>
    <row r="262" spans="1:56" ht="17">
      <c r="A262" s="46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</row>
    <row r="263" spans="1:56" ht="17">
      <c r="A263" s="46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</row>
    <row r="264" spans="1:56" ht="17">
      <c r="A264" s="46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</row>
    <row r="265" spans="1:56" ht="17">
      <c r="A265" s="46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</row>
    <row r="266" spans="1:56" ht="17">
      <c r="A266" s="46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</row>
    <row r="267" spans="1:56" ht="17">
      <c r="A267" s="46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</row>
    <row r="268" spans="1:56" ht="17">
      <c r="A268" s="46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</row>
    <row r="269" spans="1:56" ht="17">
      <c r="A269" s="46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</row>
    <row r="270" spans="1:56" ht="17">
      <c r="A270" s="46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</row>
    <row r="271" spans="1:56" ht="17">
      <c r="A271" s="46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</row>
    <row r="272" spans="1:56" ht="17">
      <c r="A272" s="46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</row>
    <row r="273" spans="1:56" ht="17">
      <c r="A273" s="46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</row>
    <row r="274" spans="1:56" ht="17">
      <c r="A274" s="46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</row>
    <row r="275" spans="1:56" ht="17">
      <c r="A275" s="46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</row>
    <row r="276" spans="1:56" ht="17">
      <c r="A276" s="46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</row>
    <row r="277" spans="1:56" ht="17">
      <c r="A277" s="46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</row>
    <row r="278" spans="1:56" ht="17">
      <c r="A278" s="46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</row>
    <row r="279" spans="1:56" ht="17">
      <c r="A279" s="46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</row>
    <row r="280" spans="1:56" ht="17">
      <c r="A280" s="46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</row>
    <row r="281" spans="1:56" ht="17">
      <c r="A281" s="46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</row>
    <row r="282" spans="1:56" ht="17">
      <c r="A282" s="46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</row>
    <row r="283" spans="1:56" ht="17">
      <c r="A283" s="46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</row>
    <row r="284" spans="1:56" ht="17">
      <c r="A284" s="46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</row>
    <row r="285" spans="1:56" ht="17">
      <c r="A285" s="46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</row>
    <row r="286" spans="1:56" ht="17">
      <c r="A286" s="46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</row>
    <row r="287" spans="1:56" ht="17">
      <c r="A287" s="46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</row>
    <row r="288" spans="1:56" ht="17">
      <c r="A288" s="46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</row>
    <row r="289" spans="1:56" ht="17">
      <c r="A289" s="46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</row>
    <row r="290" spans="1:56" ht="17">
      <c r="A290" s="46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</row>
    <row r="291" spans="1:56" ht="17">
      <c r="A291" s="46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</row>
    <row r="292" spans="1:56" ht="17">
      <c r="A292" s="46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</row>
    <row r="293" spans="1:56" ht="17">
      <c r="A293" s="46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</row>
    <row r="294" spans="1:56" ht="17">
      <c r="A294" s="46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</row>
    <row r="295" spans="1:56" ht="17">
      <c r="A295" s="46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</row>
    <row r="296" spans="1:56" ht="17">
      <c r="A296" s="46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</row>
    <row r="297" spans="1:56" ht="17">
      <c r="A297" s="46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</row>
    <row r="298" spans="1:56" ht="17">
      <c r="A298" s="46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</row>
    <row r="299" spans="1:56" ht="17">
      <c r="A299" s="46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</row>
    <row r="300" spans="1:56" ht="17">
      <c r="A300" s="46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</row>
    <row r="301" spans="1:56" ht="17">
      <c r="A301" s="46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</row>
    <row r="302" spans="1:56" ht="17">
      <c r="A302" s="46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</row>
    <row r="303" spans="1:56" ht="17">
      <c r="A303" s="46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</row>
    <row r="304" spans="1:56" ht="17">
      <c r="A304" s="46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</row>
    <row r="305" spans="1:56" ht="17">
      <c r="A305" s="46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</row>
    <row r="306" spans="1:56" ht="17">
      <c r="A306" s="46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</row>
    <row r="307" spans="1:56" ht="17">
      <c r="A307" s="46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</row>
    <row r="308" spans="1:56" ht="17">
      <c r="A308" s="46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</row>
    <row r="309" spans="1:56" ht="17">
      <c r="A309" s="46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</row>
    <row r="310" spans="1:56" ht="17">
      <c r="A310" s="46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</row>
    <row r="311" spans="1:56" ht="17">
      <c r="A311" s="46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</row>
    <row r="312" spans="1:56" ht="17">
      <c r="A312" s="46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</row>
    <row r="313" spans="1:56" ht="17">
      <c r="A313" s="46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</row>
    <row r="314" spans="1:56" ht="17">
      <c r="A314" s="46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</row>
    <row r="315" spans="1:56" ht="17">
      <c r="A315" s="46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</row>
    <row r="316" spans="1:56" ht="17">
      <c r="A316" s="46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</row>
    <row r="317" spans="1:56" ht="17">
      <c r="A317" s="46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</row>
    <row r="318" spans="1:56" ht="17">
      <c r="A318" s="46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</row>
    <row r="319" spans="1:56" ht="17">
      <c r="A319" s="46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</row>
    <row r="320" spans="1:56" ht="17">
      <c r="A320" s="46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</row>
    <row r="321" spans="1:56" ht="17">
      <c r="A321" s="46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</row>
    <row r="322" spans="1:56" ht="17">
      <c r="A322" s="46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</row>
    <row r="323" spans="1:56" ht="17">
      <c r="A323" s="46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</row>
    <row r="324" spans="1:56" ht="17">
      <c r="A324" s="46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</row>
    <row r="325" spans="1:56" ht="17">
      <c r="A325" s="46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</row>
    <row r="326" spans="1:56" ht="17">
      <c r="A326" s="46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</row>
    <row r="327" spans="1:56" ht="17">
      <c r="A327" s="46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</row>
    <row r="328" spans="1:56" ht="17">
      <c r="A328" s="46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</row>
    <row r="329" spans="1:56" ht="17">
      <c r="A329" s="46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</row>
    <row r="330" spans="1:56" ht="17">
      <c r="A330" s="46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</row>
    <row r="331" spans="1:56" ht="17">
      <c r="A331" s="46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</row>
    <row r="332" spans="1:56" ht="17">
      <c r="A332" s="46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</row>
    <row r="333" spans="1:56" ht="17">
      <c r="A333" s="46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</row>
    <row r="334" spans="1:56" ht="17">
      <c r="A334" s="46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</row>
    <row r="335" spans="1:56" ht="17">
      <c r="A335" s="46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</row>
    <row r="336" spans="1:56" ht="17">
      <c r="A336" s="46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</row>
    <row r="337" spans="1:56" ht="17">
      <c r="A337" s="46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</row>
    <row r="338" spans="1:56" ht="17">
      <c r="A338" s="46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</row>
    <row r="339" spans="1:56" ht="17">
      <c r="A339" s="46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</row>
    <row r="340" spans="1:56" ht="17">
      <c r="A340" s="46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</row>
    <row r="341" spans="1:56" ht="17">
      <c r="A341" s="46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</row>
    <row r="342" spans="1:56" ht="17">
      <c r="A342" s="46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</row>
    <row r="343" spans="1:56" ht="17">
      <c r="A343" s="46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</row>
    <row r="344" spans="1:56" ht="17">
      <c r="A344" s="46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</row>
    <row r="345" spans="1:56" ht="17">
      <c r="A345" s="46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</row>
    <row r="346" spans="1:56" ht="17">
      <c r="A346" s="46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</row>
    <row r="347" spans="1:56" ht="17">
      <c r="A347" s="46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</row>
    <row r="348" spans="1:56" ht="17">
      <c r="A348" s="46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</row>
    <row r="349" spans="1:56" ht="17">
      <c r="A349" s="46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</row>
    <row r="350" spans="1:56" ht="17">
      <c r="A350" s="46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</row>
    <row r="351" spans="1:56" ht="17">
      <c r="A351" s="46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</row>
    <row r="352" spans="1:56" ht="17">
      <c r="A352" s="46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</row>
    <row r="353" spans="1:56" ht="17">
      <c r="A353" s="46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</row>
    <row r="354" spans="1:56" ht="17">
      <c r="A354" s="46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</row>
    <row r="355" spans="1:56" ht="17">
      <c r="A355" s="46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</row>
    <row r="356" spans="1:56" ht="17">
      <c r="A356" s="46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</row>
    <row r="357" spans="1:56" ht="17">
      <c r="A357" s="46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</row>
    <row r="358" spans="1:56" ht="17">
      <c r="A358" s="46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</row>
    <row r="359" spans="1:56" ht="17">
      <c r="A359" s="46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</row>
    <row r="360" spans="1:56" ht="17">
      <c r="A360" s="46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</row>
    <row r="361" spans="1:56" ht="17">
      <c r="A361" s="46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</row>
    <row r="362" spans="1:56" ht="17">
      <c r="A362" s="46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</row>
    <row r="363" spans="1:56" ht="17">
      <c r="A363" s="46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</row>
    <row r="364" spans="1:56" ht="17">
      <c r="A364" s="46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</row>
    <row r="365" spans="1:56" ht="17">
      <c r="A365" s="46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</row>
    <row r="366" spans="1:56" ht="17">
      <c r="A366" s="46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</row>
    <row r="367" spans="1:56" ht="17">
      <c r="A367" s="46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</row>
    <row r="368" spans="1:56" ht="17">
      <c r="A368" s="46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</row>
    <row r="369" spans="1:56" ht="17">
      <c r="A369" s="46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</row>
    <row r="370" spans="1:56" ht="17">
      <c r="A370" s="46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</row>
    <row r="371" spans="1:56" ht="17">
      <c r="A371" s="46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</row>
    <row r="372" spans="1:56" ht="17">
      <c r="A372" s="46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</row>
    <row r="373" spans="1:56" ht="17">
      <c r="A373" s="46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</row>
    <row r="374" spans="1:56" ht="17">
      <c r="A374" s="46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</row>
    <row r="375" spans="1:56" ht="17">
      <c r="A375" s="46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</row>
    <row r="376" spans="1:56" ht="17">
      <c r="A376" s="46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</row>
    <row r="377" spans="1:56" ht="17">
      <c r="A377" s="46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</row>
    <row r="378" spans="1:56" ht="17">
      <c r="A378" s="46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</row>
    <row r="379" spans="1:56" ht="17">
      <c r="A379" s="46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</row>
    <row r="380" spans="1:56" ht="17">
      <c r="A380" s="46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</row>
    <row r="381" spans="1:56" ht="17">
      <c r="A381" s="46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</row>
    <row r="382" spans="1:56" ht="17">
      <c r="A382" s="46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</row>
    <row r="383" spans="1:56" ht="17">
      <c r="A383" s="46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</row>
    <row r="384" spans="1:56" ht="17">
      <c r="A384" s="46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</row>
    <row r="385" spans="1:56" ht="17">
      <c r="A385" s="46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</row>
    <row r="386" spans="1:56" ht="17">
      <c r="A386" s="46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</row>
    <row r="387" spans="1:56" ht="17">
      <c r="A387" s="46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</row>
    <row r="388" spans="1:56" ht="17">
      <c r="A388" s="46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</row>
    <row r="389" spans="1:56" ht="17">
      <c r="A389" s="46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</row>
    <row r="390" spans="1:56" ht="17">
      <c r="A390" s="46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</row>
    <row r="391" spans="1:56" ht="17">
      <c r="A391" s="46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</row>
    <row r="392" spans="1:56" ht="17">
      <c r="A392" s="46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</row>
    <row r="393" spans="1:56" ht="17">
      <c r="A393" s="46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</row>
    <row r="394" spans="1:56" ht="17">
      <c r="A394" s="46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</row>
    <row r="395" spans="1:56" ht="17">
      <c r="A395" s="46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</row>
    <row r="396" spans="1:56" ht="17">
      <c r="A396" s="46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</row>
    <row r="397" spans="1:56" ht="17">
      <c r="A397" s="46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</row>
    <row r="398" spans="1:56" ht="17">
      <c r="A398" s="46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</row>
    <row r="399" spans="1:56" ht="17">
      <c r="A399" s="46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</row>
    <row r="400" spans="1:56" ht="17">
      <c r="A400" s="46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</row>
    <row r="401" spans="1:56" ht="17">
      <c r="A401" s="46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</row>
    <row r="402" spans="1:56" ht="17">
      <c r="A402" s="46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</row>
    <row r="403" spans="1:56" ht="17">
      <c r="A403" s="46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</row>
    <row r="404" spans="1:56" ht="17">
      <c r="A404" s="46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</row>
    <row r="405" spans="1:56" ht="17">
      <c r="A405" s="46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</row>
    <row r="406" spans="1:56" ht="17">
      <c r="A406" s="46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</row>
    <row r="407" spans="1:56" ht="17">
      <c r="A407" s="46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</row>
    <row r="408" spans="1:56" ht="17">
      <c r="A408" s="46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</row>
    <row r="409" spans="1:56" ht="17">
      <c r="A409" s="46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</row>
    <row r="410" spans="1:56" ht="17">
      <c r="A410" s="46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</row>
    <row r="411" spans="1:56" ht="17">
      <c r="A411" s="46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</row>
    <row r="412" spans="1:56" ht="17">
      <c r="A412" s="46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</row>
    <row r="413" spans="1:56" ht="17">
      <c r="A413" s="46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</row>
    <row r="414" spans="1:56" ht="17">
      <c r="A414" s="46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</row>
    <row r="415" spans="1:56" ht="17">
      <c r="A415" s="46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</row>
    <row r="416" spans="1:56" ht="17">
      <c r="A416" s="46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</row>
    <row r="417" spans="1:56" ht="17">
      <c r="A417" s="46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</row>
    <row r="418" spans="1:56" ht="17">
      <c r="A418" s="46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</row>
    <row r="419" spans="1:56" ht="17">
      <c r="A419" s="46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</row>
    <row r="420" spans="1:56" ht="17">
      <c r="A420" s="46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</row>
    <row r="421" spans="1:56" ht="17">
      <c r="A421" s="46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</row>
    <row r="422" spans="1:56" ht="17">
      <c r="A422" s="46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</row>
    <row r="423" spans="1:56" ht="17">
      <c r="A423" s="46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</row>
    <row r="424" spans="1:56" ht="17">
      <c r="A424" s="46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</row>
    <row r="425" spans="1:56" ht="17">
      <c r="A425" s="46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</row>
    <row r="426" spans="1:56" ht="17">
      <c r="A426" s="46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</row>
    <row r="427" spans="1:56" ht="17">
      <c r="A427" s="46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</row>
    <row r="428" spans="1:56" ht="17">
      <c r="A428" s="46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</row>
    <row r="429" spans="1:56" ht="17">
      <c r="A429" s="46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</row>
    <row r="430" spans="1:56" ht="17">
      <c r="A430" s="46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</row>
    <row r="431" spans="1:56" ht="17">
      <c r="A431" s="46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</row>
    <row r="432" spans="1:56" ht="17">
      <c r="A432" s="46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</row>
    <row r="433" spans="1:56" ht="17">
      <c r="A433" s="46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</row>
    <row r="434" spans="1:56" ht="17">
      <c r="A434" s="46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</row>
    <row r="435" spans="1:56" ht="17">
      <c r="A435" s="46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</row>
    <row r="436" spans="1:56" ht="17">
      <c r="A436" s="46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</row>
    <row r="437" spans="1:56" ht="17">
      <c r="A437" s="46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</row>
    <row r="438" spans="1:56" ht="17">
      <c r="A438" s="46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</row>
    <row r="439" spans="1:56" ht="17">
      <c r="A439" s="46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</row>
    <row r="440" spans="1:56" ht="17">
      <c r="A440" s="46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</row>
    <row r="441" spans="1:56" ht="17">
      <c r="A441" s="46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</row>
    <row r="442" spans="1:56" ht="17">
      <c r="A442" s="46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</row>
    <row r="443" spans="1:56" ht="17">
      <c r="A443" s="46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</row>
    <row r="444" spans="1:56" ht="17">
      <c r="A444" s="46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</row>
    <row r="445" spans="1:56" ht="17">
      <c r="A445" s="46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</row>
    <row r="446" spans="1:56" ht="17">
      <c r="A446" s="46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</row>
    <row r="447" spans="1:56" ht="17">
      <c r="A447" s="46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</row>
    <row r="448" spans="1:56" ht="17">
      <c r="A448" s="46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</row>
    <row r="449" spans="1:56" ht="17">
      <c r="A449" s="46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</row>
    <row r="450" spans="1:56" ht="17">
      <c r="A450" s="46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</row>
    <row r="451" spans="1:56" ht="17">
      <c r="A451" s="46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</row>
    <row r="452" spans="1:56" ht="17">
      <c r="A452" s="46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</row>
    <row r="453" spans="1:56" ht="17">
      <c r="A453" s="46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</row>
    <row r="454" spans="1:56" ht="17">
      <c r="A454" s="46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</row>
    <row r="455" spans="1:56" ht="17">
      <c r="A455" s="46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</row>
    <row r="456" spans="1:56" ht="17">
      <c r="A456" s="46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</row>
    <row r="457" spans="1:56" ht="17">
      <c r="A457" s="46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</row>
    <row r="458" spans="1:56" ht="17">
      <c r="A458" s="46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</row>
    <row r="459" spans="1:56" ht="17">
      <c r="A459" s="46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</row>
    <row r="460" spans="1:56" ht="17">
      <c r="A460" s="46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</row>
    <row r="461" spans="1:56" ht="17">
      <c r="A461" s="46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</row>
    <row r="462" spans="1:56" ht="17">
      <c r="A462" s="46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</row>
    <row r="463" spans="1:56" ht="17">
      <c r="A463" s="46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</row>
    <row r="464" spans="1:56" ht="17">
      <c r="A464" s="46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</row>
    <row r="465" spans="1:56" ht="17">
      <c r="A465" s="46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</row>
    <row r="466" spans="1:56" ht="17">
      <c r="A466" s="46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</row>
    <row r="467" spans="1:56" ht="17">
      <c r="A467" s="46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</row>
    <row r="468" spans="1:56" ht="17">
      <c r="A468" s="46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</row>
    <row r="469" spans="1:56" ht="17">
      <c r="A469" s="46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</row>
    <row r="470" spans="1:56" ht="17">
      <c r="A470" s="46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</row>
    <row r="471" spans="1:56" ht="17">
      <c r="A471" s="46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</row>
    <row r="472" spans="1:56" ht="17">
      <c r="A472" s="46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</row>
    <row r="473" spans="1:56" ht="17">
      <c r="A473" s="46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</row>
    <row r="474" spans="1:56" ht="17">
      <c r="A474" s="46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</row>
    <row r="475" spans="1:56" ht="17">
      <c r="A475" s="46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</row>
    <row r="476" spans="1:56" ht="17">
      <c r="A476" s="46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</row>
    <row r="477" spans="1:56" ht="17">
      <c r="A477" s="46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</row>
    <row r="478" spans="1:56" ht="17">
      <c r="A478" s="46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</row>
    <row r="479" spans="1:56" ht="17">
      <c r="A479" s="46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</row>
    <row r="480" spans="1:56" ht="17">
      <c r="A480" s="46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</row>
    <row r="481" spans="1:56" ht="17">
      <c r="A481" s="46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</row>
    <row r="482" spans="1:56" ht="17">
      <c r="A482" s="46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</row>
    <row r="483" spans="1:56" ht="17">
      <c r="A483" s="46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</row>
    <row r="484" spans="1:56" ht="17">
      <c r="A484" s="46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</row>
    <row r="485" spans="1:56" ht="17">
      <c r="A485" s="46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</row>
    <row r="486" spans="1:56" ht="17">
      <c r="A486" s="46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</row>
    <row r="487" spans="1:56" ht="17">
      <c r="A487" s="46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</row>
    <row r="488" spans="1:56" ht="17">
      <c r="A488" s="46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</row>
    <row r="489" spans="1:56" ht="17">
      <c r="A489" s="46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</row>
    <row r="490" spans="1:56" ht="17">
      <c r="A490" s="46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</row>
    <row r="491" spans="1:56" ht="17">
      <c r="A491" s="46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</row>
    <row r="492" spans="1:56" ht="17">
      <c r="A492" s="46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</row>
    <row r="493" spans="1:56" ht="17">
      <c r="A493" s="46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</row>
    <row r="494" spans="1:56" ht="17">
      <c r="A494" s="46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</row>
    <row r="495" spans="1:56" ht="17">
      <c r="A495" s="46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</row>
    <row r="496" spans="1:56" ht="17">
      <c r="A496" s="46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</row>
    <row r="497" spans="1:56" ht="17">
      <c r="A497" s="46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</row>
    <row r="498" spans="1:56" ht="17">
      <c r="A498" s="46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</row>
    <row r="499" spans="1:56" ht="17">
      <c r="A499" s="46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</row>
    <row r="500" spans="1:56" ht="17">
      <c r="A500" s="46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</row>
    <row r="501" spans="1:56" ht="17">
      <c r="A501" s="46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</row>
    <row r="502" spans="1:56" ht="17">
      <c r="A502" s="46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</row>
    <row r="503" spans="1:56" ht="17">
      <c r="A503" s="46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</row>
    <row r="504" spans="1:56" ht="17">
      <c r="A504" s="46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</row>
    <row r="505" spans="1:56" ht="17">
      <c r="A505" s="46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</row>
    <row r="506" spans="1:56" ht="17">
      <c r="A506" s="46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</row>
    <row r="507" spans="1:56" ht="17">
      <c r="A507" s="46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</row>
    <row r="508" spans="1:56" ht="17">
      <c r="A508" s="46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</row>
    <row r="509" spans="1:56" ht="17">
      <c r="A509" s="46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</row>
    <row r="510" spans="1:56" ht="17">
      <c r="A510" s="46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</row>
    <row r="511" spans="1:56" ht="17">
      <c r="A511" s="46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</row>
    <row r="512" spans="1:56" ht="17">
      <c r="A512" s="46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</row>
    <row r="513" spans="1:56" ht="17">
      <c r="A513" s="46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</row>
    <row r="514" spans="1:56" ht="17">
      <c r="A514" s="46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</row>
    <row r="515" spans="1:56" ht="17">
      <c r="A515" s="46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</row>
    <row r="516" spans="1:56" ht="17">
      <c r="A516" s="46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</row>
    <row r="517" spans="1:56" ht="17">
      <c r="A517" s="46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</row>
    <row r="518" spans="1:56" ht="17">
      <c r="A518" s="46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</row>
    <row r="519" spans="1:56" ht="17">
      <c r="A519" s="46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</row>
    <row r="520" spans="1:56" ht="17">
      <c r="A520" s="46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</row>
    <row r="521" spans="1:56" ht="17">
      <c r="A521" s="46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</row>
    <row r="522" spans="1:56" ht="17">
      <c r="A522" s="46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</row>
    <row r="523" spans="1:56" ht="17">
      <c r="A523" s="46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</row>
    <row r="524" spans="1:56" ht="17">
      <c r="A524" s="46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</row>
    <row r="525" spans="1:56" ht="17">
      <c r="A525" s="46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</row>
    <row r="526" spans="1:56" ht="17">
      <c r="A526" s="46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</row>
    <row r="527" spans="1:56" ht="17">
      <c r="A527" s="46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</row>
    <row r="528" spans="1:56" ht="17">
      <c r="A528" s="46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</row>
    <row r="529" spans="1:56" ht="17">
      <c r="A529" s="46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</row>
    <row r="530" spans="1:56" ht="17">
      <c r="A530" s="46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</row>
    <row r="531" spans="1:56" ht="17">
      <c r="A531" s="46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</row>
    <row r="532" spans="1:56" ht="17">
      <c r="A532" s="46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</row>
    <row r="533" spans="1:56" ht="17">
      <c r="A533" s="46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</row>
    <row r="534" spans="1:56" ht="17">
      <c r="A534" s="46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</row>
    <row r="535" spans="1:56" ht="17">
      <c r="A535" s="46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</row>
    <row r="536" spans="1:56" ht="17">
      <c r="A536" s="46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</row>
    <row r="537" spans="1:56" ht="17">
      <c r="A537" s="46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</row>
    <row r="538" spans="1:56" ht="17">
      <c r="A538" s="46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</row>
    <row r="539" spans="1:56" ht="17">
      <c r="A539" s="46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</row>
    <row r="540" spans="1:56" ht="17">
      <c r="A540" s="46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</row>
    <row r="541" spans="1:56" ht="17">
      <c r="A541" s="46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</row>
    <row r="542" spans="1:56" ht="17">
      <c r="A542" s="46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</row>
    <row r="543" spans="1:56" ht="17">
      <c r="A543" s="46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</row>
    <row r="544" spans="1:56" ht="17">
      <c r="A544" s="46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</row>
    <row r="545" spans="1:56" ht="17">
      <c r="A545" s="46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</row>
    <row r="546" spans="1:56" ht="17">
      <c r="A546" s="46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</row>
    <row r="547" spans="1:56" ht="17">
      <c r="A547" s="46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</row>
    <row r="548" spans="1:56" ht="17">
      <c r="A548" s="46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</row>
    <row r="549" spans="1:56" ht="17">
      <c r="A549" s="46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</row>
    <row r="550" spans="1:56" ht="17">
      <c r="A550" s="46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</row>
    <row r="551" spans="1:56" ht="17">
      <c r="A551" s="46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</row>
    <row r="552" spans="1:56" ht="17">
      <c r="A552" s="46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</row>
    <row r="553" spans="1:56" ht="17">
      <c r="A553" s="46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</row>
    <row r="554" spans="1:56" ht="17">
      <c r="A554" s="46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</row>
    <row r="555" spans="1:56" ht="17">
      <c r="A555" s="46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</row>
    <row r="556" spans="1:56" ht="17">
      <c r="A556" s="46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</row>
    <row r="557" spans="1:56" ht="17">
      <c r="A557" s="46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</row>
    <row r="558" spans="1:56" ht="17">
      <c r="A558" s="46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</row>
    <row r="559" spans="1:56" ht="17">
      <c r="A559" s="46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</row>
    <row r="560" spans="1:56" ht="17">
      <c r="A560" s="46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</row>
    <row r="561" spans="1:56" ht="17">
      <c r="A561" s="46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</row>
    <row r="562" spans="1:56" ht="17">
      <c r="A562" s="46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</row>
    <row r="563" spans="1:56" ht="17">
      <c r="A563" s="46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</row>
    <row r="564" spans="1:56" ht="17">
      <c r="A564" s="46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</row>
    <row r="565" spans="1:56" ht="17">
      <c r="A565" s="46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</row>
    <row r="566" spans="1:56" ht="17">
      <c r="A566" s="46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</row>
    <row r="567" spans="1:56" ht="17">
      <c r="A567" s="46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</row>
    <row r="568" spans="1:56" ht="17">
      <c r="A568" s="46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</row>
    <row r="569" spans="1:56" ht="17">
      <c r="A569" s="46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</row>
    <row r="570" spans="1:56" ht="17">
      <c r="A570" s="46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</row>
    <row r="571" spans="1:56" ht="17">
      <c r="A571" s="46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</row>
    <row r="572" spans="1:56" ht="17">
      <c r="A572" s="46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</row>
    <row r="573" spans="1:56" ht="17">
      <c r="A573" s="46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</row>
    <row r="574" spans="1:56" ht="17">
      <c r="A574" s="46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</row>
    <row r="575" spans="1:56" ht="17">
      <c r="A575" s="46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</row>
    <row r="576" spans="1:56" ht="17">
      <c r="A576" s="46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</row>
    <row r="577" spans="1:56" ht="17">
      <c r="A577" s="46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</row>
    <row r="578" spans="1:56" ht="17">
      <c r="A578" s="46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</row>
    <row r="579" spans="1:56" ht="17">
      <c r="A579" s="46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</row>
    <row r="580" spans="1:56" ht="17">
      <c r="A580" s="46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</row>
    <row r="581" spans="1:56" ht="17">
      <c r="A581" s="46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</row>
    <row r="582" spans="1:56" ht="17">
      <c r="A582" s="46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</row>
    <row r="583" spans="1:56" ht="17">
      <c r="A583" s="46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</row>
    <row r="584" spans="1:56" ht="17">
      <c r="A584" s="46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</row>
    <row r="585" spans="1:56" ht="17">
      <c r="A585" s="46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</row>
    <row r="586" spans="1:56" ht="17">
      <c r="A586" s="46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</row>
    <row r="587" spans="1:56" ht="17">
      <c r="A587" s="46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</row>
    <row r="588" spans="1:56" ht="17">
      <c r="A588" s="46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</row>
    <row r="589" spans="1:56" ht="17">
      <c r="A589" s="46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</row>
    <row r="590" spans="1:56" ht="17">
      <c r="A590" s="46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</row>
    <row r="591" spans="1:56" ht="17">
      <c r="A591" s="46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</row>
    <row r="592" spans="1:56" ht="17">
      <c r="A592" s="46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</row>
    <row r="593" spans="1:56" ht="17">
      <c r="A593" s="46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</row>
    <row r="594" spans="1:56" ht="17">
      <c r="A594" s="46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</row>
    <row r="595" spans="1:56" ht="17">
      <c r="A595" s="46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</row>
    <row r="596" spans="1:56" ht="17">
      <c r="A596" s="46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</row>
    <row r="597" spans="1:56" ht="17">
      <c r="A597" s="46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</row>
    <row r="598" spans="1:56" ht="17">
      <c r="A598" s="46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</row>
    <row r="599" spans="1:56" ht="17">
      <c r="A599" s="46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</row>
    <row r="600" spans="1:56" ht="17">
      <c r="A600" s="46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</row>
    <row r="601" spans="1:56" ht="17">
      <c r="A601" s="46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</row>
    <row r="602" spans="1:56" ht="17">
      <c r="A602" s="46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</row>
    <row r="603" spans="1:56" ht="17">
      <c r="A603" s="46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</row>
    <row r="604" spans="1:56" ht="17">
      <c r="A604" s="46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</row>
    <row r="605" spans="1:56" ht="17">
      <c r="A605" s="46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</row>
    <row r="606" spans="1:56" ht="17">
      <c r="A606" s="46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</row>
    <row r="607" spans="1:56" ht="17">
      <c r="A607" s="46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</row>
    <row r="608" spans="1:56" ht="17">
      <c r="A608" s="46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</row>
    <row r="609" spans="1:56" ht="17">
      <c r="A609" s="46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</row>
    <row r="610" spans="1:56" ht="17">
      <c r="A610" s="46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</row>
    <row r="611" spans="1:56" ht="17">
      <c r="A611" s="46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</row>
    <row r="612" spans="1:56" ht="17">
      <c r="A612" s="46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</row>
    <row r="613" spans="1:56" ht="17">
      <c r="A613" s="46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</row>
    <row r="614" spans="1:56" ht="17">
      <c r="A614" s="46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</row>
    <row r="615" spans="1:56" ht="17">
      <c r="A615" s="46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</row>
    <row r="616" spans="1:56" ht="17">
      <c r="A616" s="46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</row>
    <row r="617" spans="1:56" ht="17">
      <c r="A617" s="46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</row>
    <row r="618" spans="1:56" ht="17">
      <c r="A618" s="46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</row>
    <row r="619" spans="1:56" ht="17">
      <c r="A619" s="46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</row>
    <row r="620" spans="1:56" ht="17">
      <c r="A620" s="46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</row>
    <row r="621" spans="1:56" ht="17">
      <c r="A621" s="46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</row>
    <row r="622" spans="1:56" ht="17">
      <c r="A622" s="46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</row>
    <row r="623" spans="1:56" ht="17">
      <c r="A623" s="46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</row>
    <row r="624" spans="1:56" ht="17">
      <c r="A624" s="46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</row>
    <row r="625" spans="1:56" ht="17">
      <c r="A625" s="46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</row>
    <row r="626" spans="1:56" ht="17">
      <c r="A626" s="46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</row>
    <row r="627" spans="1:56" ht="17">
      <c r="A627" s="46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</row>
    <row r="628" spans="1:56" ht="17">
      <c r="A628" s="46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</row>
    <row r="629" spans="1:56" ht="17">
      <c r="A629" s="46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</row>
    <row r="630" spans="1:56" ht="17">
      <c r="A630" s="46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</row>
    <row r="631" spans="1:56" ht="17">
      <c r="A631" s="46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</row>
    <row r="632" spans="1:56" ht="17">
      <c r="A632" s="46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</row>
    <row r="633" spans="1:56" ht="17">
      <c r="A633" s="46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</row>
    <row r="634" spans="1:56" ht="17">
      <c r="A634" s="46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</row>
    <row r="635" spans="1:56" ht="17">
      <c r="A635" s="46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</row>
    <row r="636" spans="1:56" ht="17">
      <c r="A636" s="46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</row>
    <row r="637" spans="1:56" ht="17">
      <c r="A637" s="46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</row>
    <row r="638" spans="1:56" ht="17">
      <c r="A638" s="46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</row>
    <row r="639" spans="1:56" ht="17">
      <c r="A639" s="46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</row>
    <row r="640" spans="1:56" ht="17">
      <c r="A640" s="46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</row>
    <row r="641" spans="1:56" ht="17">
      <c r="A641" s="46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</row>
    <row r="642" spans="1:56" ht="17">
      <c r="A642" s="46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</row>
    <row r="643" spans="1:56" ht="17">
      <c r="A643" s="46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</row>
    <row r="644" spans="1:56" ht="17">
      <c r="A644" s="46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</row>
    <row r="645" spans="1:56" ht="17">
      <c r="A645" s="46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</row>
    <row r="646" spans="1:56" ht="17">
      <c r="A646" s="46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</row>
    <row r="647" spans="1:56" ht="17">
      <c r="A647" s="46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</row>
    <row r="648" spans="1:56" ht="17">
      <c r="A648" s="46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</row>
    <row r="649" spans="1:56" ht="17">
      <c r="A649" s="46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</row>
    <row r="650" spans="1:56" ht="17">
      <c r="A650" s="46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</row>
    <row r="651" spans="1:56" ht="17">
      <c r="A651" s="46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</row>
    <row r="652" spans="1:56" ht="17">
      <c r="A652" s="46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</row>
    <row r="653" spans="1:56" ht="17">
      <c r="A653" s="46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</row>
    <row r="654" spans="1:56" ht="17">
      <c r="A654" s="46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</row>
    <row r="655" spans="1:56" ht="17">
      <c r="A655" s="46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</row>
    <row r="656" spans="1:56" ht="17">
      <c r="A656" s="46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</row>
    <row r="657" spans="1:56" ht="17">
      <c r="A657" s="46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</row>
    <row r="658" spans="1:56" ht="17">
      <c r="A658" s="46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</row>
    <row r="659" spans="1:56" ht="17">
      <c r="A659" s="46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</row>
    <row r="660" spans="1:56" ht="17">
      <c r="A660" s="46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</row>
    <row r="661" spans="1:56" ht="17">
      <c r="A661" s="46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</row>
    <row r="662" spans="1:56" ht="17">
      <c r="A662" s="46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</row>
    <row r="663" spans="1:56" ht="17">
      <c r="A663" s="46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</row>
    <row r="664" spans="1:56" ht="17">
      <c r="A664" s="46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</row>
    <row r="665" spans="1:56" ht="17">
      <c r="A665" s="46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</row>
    <row r="666" spans="1:56" ht="17">
      <c r="A666" s="46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</row>
    <row r="667" spans="1:56" ht="17">
      <c r="A667" s="46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</row>
    <row r="668" spans="1:56" ht="17">
      <c r="A668" s="46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</row>
    <row r="669" spans="1:56" ht="17">
      <c r="A669" s="46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</row>
    <row r="670" spans="1:56" ht="17">
      <c r="A670" s="46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</row>
    <row r="671" spans="1:56" ht="17">
      <c r="A671" s="46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</row>
    <row r="672" spans="1:56" ht="17">
      <c r="A672" s="46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</row>
    <row r="673" spans="1:56" ht="17">
      <c r="A673" s="46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</row>
    <row r="674" spans="1:56" ht="17">
      <c r="A674" s="46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</row>
    <row r="675" spans="1:56" ht="17">
      <c r="A675" s="46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</row>
    <row r="676" spans="1:56" ht="17">
      <c r="A676" s="46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</row>
    <row r="677" spans="1:56" ht="17">
      <c r="A677" s="46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</row>
    <row r="678" spans="1:56" ht="17">
      <c r="A678" s="46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</row>
    <row r="679" spans="1:56" ht="17">
      <c r="A679" s="46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</row>
    <row r="680" spans="1:56" ht="17">
      <c r="A680" s="46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</row>
    <row r="681" spans="1:56" ht="17">
      <c r="A681" s="46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</row>
    <row r="682" spans="1:56" ht="17">
      <c r="A682" s="46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</row>
    <row r="683" spans="1:56" ht="17">
      <c r="A683" s="46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</row>
    <row r="684" spans="1:56" ht="17">
      <c r="A684" s="46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</row>
    <row r="685" spans="1:56" ht="17">
      <c r="A685" s="46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</row>
    <row r="686" spans="1:56" ht="17">
      <c r="A686" s="46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</row>
    <row r="687" spans="1:56" ht="17">
      <c r="A687" s="46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</row>
    <row r="688" spans="1:56" ht="17">
      <c r="A688" s="46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</row>
    <row r="689" spans="1:56" ht="17">
      <c r="A689" s="46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</row>
    <row r="690" spans="1:56" ht="17">
      <c r="A690" s="46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</row>
    <row r="691" spans="1:56" ht="17">
      <c r="A691" s="46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</row>
    <row r="692" spans="1:56" ht="17">
      <c r="A692" s="46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</row>
    <row r="693" spans="1:56" ht="17">
      <c r="A693" s="46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</row>
    <row r="694" spans="1:56" ht="17">
      <c r="A694" s="46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</row>
    <row r="695" spans="1:56" ht="17">
      <c r="A695" s="46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</row>
    <row r="696" spans="1:56" ht="17">
      <c r="A696" s="46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</row>
    <row r="697" spans="1:56" ht="17">
      <c r="A697" s="46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</row>
    <row r="698" spans="1:56" ht="17">
      <c r="A698" s="46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</row>
    <row r="699" spans="1:56" ht="17">
      <c r="A699" s="46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</row>
    <row r="700" spans="1:56" ht="17">
      <c r="A700" s="46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</row>
    <row r="701" spans="1:56" ht="17">
      <c r="A701" s="46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</row>
    <row r="702" spans="1:56" ht="17">
      <c r="A702" s="46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</row>
    <row r="703" spans="1:56" ht="17">
      <c r="A703" s="46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</row>
    <row r="704" spans="1:56" ht="17">
      <c r="A704" s="46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</row>
    <row r="705" spans="1:56" ht="17">
      <c r="A705" s="46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</row>
    <row r="706" spans="1:56" ht="17">
      <c r="A706" s="46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</row>
    <row r="707" spans="1:56" ht="17">
      <c r="A707" s="46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</row>
    <row r="708" spans="1:56" ht="17">
      <c r="A708" s="46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</row>
    <row r="709" spans="1:56" ht="17">
      <c r="A709" s="46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</row>
    <row r="710" spans="1:56" ht="17">
      <c r="A710" s="46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</row>
    <row r="711" spans="1:56" ht="17">
      <c r="A711" s="46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</row>
    <row r="712" spans="1:56" ht="17">
      <c r="A712" s="46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</row>
    <row r="713" spans="1:56" ht="17">
      <c r="A713" s="46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</row>
    <row r="714" spans="1:56" ht="17">
      <c r="A714" s="46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</row>
    <row r="715" spans="1:56" ht="17">
      <c r="A715" s="46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</row>
    <row r="716" spans="1:56" ht="17">
      <c r="A716" s="46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</row>
    <row r="717" spans="1:56" ht="17">
      <c r="A717" s="46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</row>
    <row r="718" spans="1:56" ht="17">
      <c r="A718" s="46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</row>
    <row r="719" spans="1:56" ht="17">
      <c r="A719" s="46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</row>
    <row r="720" spans="1:56" ht="17">
      <c r="A720" s="46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</row>
    <row r="721" spans="1:56" ht="17">
      <c r="A721" s="46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</row>
    <row r="722" spans="1:56" ht="17">
      <c r="A722" s="46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</row>
    <row r="723" spans="1:56" ht="17">
      <c r="A723" s="46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</row>
    <row r="724" spans="1:56" ht="17">
      <c r="A724" s="46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</row>
    <row r="725" spans="1:56" ht="17">
      <c r="A725" s="46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</row>
    <row r="726" spans="1:56" ht="17">
      <c r="A726" s="46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</row>
    <row r="727" spans="1:56" ht="17">
      <c r="A727" s="46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</row>
    <row r="728" spans="1:56" ht="17">
      <c r="A728" s="46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</row>
    <row r="729" spans="1:56" ht="17">
      <c r="A729" s="46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</row>
    <row r="730" spans="1:56" ht="17">
      <c r="A730" s="46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</row>
    <row r="731" spans="1:56" ht="17">
      <c r="A731" s="46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</row>
    <row r="732" spans="1:56" ht="17">
      <c r="A732" s="46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</row>
    <row r="733" spans="1:56" ht="17">
      <c r="A733" s="46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</row>
    <row r="734" spans="1:56" ht="17">
      <c r="A734" s="46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</row>
    <row r="735" spans="1:56" ht="17">
      <c r="A735" s="46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</row>
    <row r="736" spans="1:56" ht="17">
      <c r="A736" s="46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</row>
    <row r="737" spans="1:56" ht="17">
      <c r="A737" s="46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</row>
    <row r="738" spans="1:56" ht="17">
      <c r="A738" s="46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</row>
    <row r="739" spans="1:56" ht="17">
      <c r="A739" s="46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</row>
    <row r="740" spans="1:56" ht="17">
      <c r="A740" s="46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</row>
    <row r="741" spans="1:56" ht="17">
      <c r="A741" s="46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</row>
    <row r="742" spans="1:56" ht="17">
      <c r="A742" s="46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</row>
    <row r="743" spans="1:56" ht="17">
      <c r="A743" s="46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</row>
    <row r="744" spans="1:56" ht="17">
      <c r="A744" s="46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</row>
    <row r="745" spans="1:56" ht="17">
      <c r="A745" s="46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</row>
    <row r="746" spans="1:56" ht="17">
      <c r="A746" s="46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</row>
    <row r="747" spans="1:56" ht="17">
      <c r="A747" s="46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</row>
    <row r="748" spans="1:56" ht="17">
      <c r="A748" s="46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</row>
    <row r="749" spans="1:56" ht="17">
      <c r="A749" s="46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</row>
    <row r="750" spans="1:56" ht="17">
      <c r="A750" s="46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</row>
    <row r="751" spans="1:56" ht="17">
      <c r="A751" s="46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</row>
    <row r="752" spans="1:56" ht="17">
      <c r="A752" s="46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</row>
    <row r="753" spans="1:56" ht="17">
      <c r="A753" s="46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</row>
    <row r="754" spans="1:56" ht="17">
      <c r="A754" s="46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</row>
    <row r="755" spans="1:56" ht="17">
      <c r="A755" s="46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</row>
    <row r="756" spans="1:56" ht="17">
      <c r="A756" s="46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</row>
    <row r="757" spans="1:56" ht="17">
      <c r="A757" s="46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</row>
    <row r="758" spans="1:56" ht="17">
      <c r="A758" s="46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</row>
    <row r="759" spans="1:56" ht="17">
      <c r="A759" s="46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</row>
    <row r="760" spans="1:56" ht="17">
      <c r="A760" s="46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</row>
    <row r="761" spans="1:56" ht="17">
      <c r="A761" s="46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</row>
    <row r="762" spans="1:56" ht="17">
      <c r="A762" s="46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</row>
    <row r="763" spans="1:56" ht="17">
      <c r="A763" s="46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</row>
    <row r="764" spans="1:56" ht="17">
      <c r="A764" s="46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</row>
    <row r="765" spans="1:56" ht="17">
      <c r="A765" s="46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</row>
    <row r="766" spans="1:56" ht="17">
      <c r="A766" s="46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</row>
    <row r="767" spans="1:56" ht="17">
      <c r="A767" s="46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</row>
    <row r="768" spans="1:56" ht="17">
      <c r="A768" s="46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</row>
    <row r="769" spans="1:56" ht="17">
      <c r="A769" s="46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</row>
    <row r="770" spans="1:56" ht="17">
      <c r="A770" s="46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</row>
    <row r="771" spans="1:56" ht="17">
      <c r="A771" s="46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</row>
    <row r="772" spans="1:56" ht="17">
      <c r="A772" s="46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</row>
    <row r="773" spans="1:56" ht="17">
      <c r="A773" s="46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</row>
    <row r="774" spans="1:56" ht="17">
      <c r="A774" s="46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</row>
    <row r="775" spans="1:56" ht="17">
      <c r="A775" s="46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</row>
    <row r="776" spans="1:56" ht="17">
      <c r="A776" s="46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</row>
    <row r="777" spans="1:56" ht="17">
      <c r="A777" s="46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</row>
    <row r="778" spans="1:56" ht="17">
      <c r="A778" s="46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</row>
    <row r="779" spans="1:56" ht="17">
      <c r="A779" s="46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</row>
    <row r="780" spans="1:56" ht="17">
      <c r="A780" s="46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</row>
    <row r="781" spans="1:56" ht="17">
      <c r="A781" s="46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</row>
    <row r="782" spans="1:56" ht="17">
      <c r="A782" s="46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</row>
    <row r="783" spans="1:56" ht="17">
      <c r="A783" s="46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</row>
    <row r="784" spans="1:56" ht="17">
      <c r="A784" s="46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</row>
    <row r="785" spans="1:56" ht="17">
      <c r="A785" s="46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</row>
    <row r="786" spans="1:56" ht="17">
      <c r="A786" s="46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</row>
    <row r="787" spans="1:56" ht="17">
      <c r="A787" s="46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</row>
    <row r="788" spans="1:56" ht="17">
      <c r="A788" s="46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</row>
    <row r="789" spans="1:56" ht="17">
      <c r="A789" s="46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</row>
    <row r="790" spans="1:56" ht="17">
      <c r="A790" s="46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</row>
    <row r="791" spans="1:56" ht="17">
      <c r="A791" s="46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</row>
    <row r="792" spans="1:56" ht="17">
      <c r="A792" s="46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</row>
    <row r="793" spans="1:56" ht="17">
      <c r="A793" s="46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</row>
    <row r="794" spans="1:56" ht="17">
      <c r="A794" s="46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</row>
    <row r="795" spans="1:56" ht="17">
      <c r="A795" s="46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</row>
    <row r="796" spans="1:56" ht="17">
      <c r="A796" s="46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</row>
    <row r="797" spans="1:56" ht="17">
      <c r="A797" s="46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</row>
    <row r="798" spans="1:56" ht="17">
      <c r="A798" s="46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</row>
    <row r="799" spans="1:56" ht="17">
      <c r="A799" s="46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</row>
    <row r="800" spans="1:56" ht="17">
      <c r="A800" s="46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</row>
    <row r="801" spans="1:56" ht="17">
      <c r="A801" s="46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</row>
    <row r="802" spans="1:56" ht="17">
      <c r="A802" s="46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</row>
    <row r="803" spans="1:56" ht="17">
      <c r="A803" s="46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</row>
    <row r="804" spans="1:56" ht="17">
      <c r="A804" s="46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</row>
    <row r="805" spans="1:56" ht="17">
      <c r="A805" s="46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</row>
    <row r="806" spans="1:56" ht="17">
      <c r="A806" s="46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</row>
    <row r="807" spans="1:56" ht="17">
      <c r="A807" s="46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</row>
    <row r="808" spans="1:56" ht="17">
      <c r="A808" s="46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</row>
    <row r="809" spans="1:56" ht="17">
      <c r="A809" s="46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</row>
    <row r="810" spans="1:56" ht="17">
      <c r="A810" s="46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</row>
    <row r="811" spans="1:56" ht="17">
      <c r="A811" s="46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</row>
    <row r="812" spans="1:56" ht="17">
      <c r="A812" s="46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</row>
    <row r="813" spans="1:56" ht="17">
      <c r="A813" s="46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</row>
    <row r="814" spans="1:56" ht="17">
      <c r="A814" s="46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</row>
    <row r="815" spans="1:56" ht="17">
      <c r="A815" s="46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</row>
    <row r="816" spans="1:56" ht="17">
      <c r="A816" s="46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</row>
    <row r="817" spans="1:56" ht="17">
      <c r="A817" s="46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</row>
    <row r="818" spans="1:56" ht="17">
      <c r="A818" s="46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</row>
    <row r="819" spans="1:56" ht="17">
      <c r="A819" s="46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</row>
    <row r="820" spans="1:56" ht="17">
      <c r="A820" s="46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</row>
    <row r="821" spans="1:56" ht="17">
      <c r="A821" s="46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</row>
    <row r="822" spans="1:56" ht="17">
      <c r="A822" s="46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</row>
    <row r="823" spans="1:56" ht="17">
      <c r="A823" s="46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</row>
    <row r="824" spans="1:56" ht="17">
      <c r="A824" s="46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</row>
    <row r="825" spans="1:56" ht="17">
      <c r="A825" s="46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</row>
    <row r="826" spans="1:56" ht="17">
      <c r="A826" s="46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</row>
    <row r="827" spans="1:56" ht="17">
      <c r="A827" s="46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</row>
    <row r="828" spans="1:56" ht="17">
      <c r="A828" s="46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</row>
    <row r="829" spans="1:56" ht="17">
      <c r="A829" s="46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</row>
    <row r="830" spans="1:56" ht="17">
      <c r="A830" s="46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</row>
    <row r="831" spans="1:56" ht="17">
      <c r="A831" s="46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</row>
    <row r="832" spans="1:56" ht="17">
      <c r="A832" s="46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</row>
    <row r="833" spans="1:56" ht="17">
      <c r="A833" s="46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</row>
    <row r="834" spans="1:56" ht="17">
      <c r="A834" s="46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</row>
    <row r="835" spans="1:56" ht="17">
      <c r="A835" s="46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</row>
    <row r="836" spans="1:56" ht="17">
      <c r="A836" s="46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</row>
    <row r="837" spans="1:56" ht="17">
      <c r="A837" s="46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</row>
    <row r="838" spans="1:56" ht="17">
      <c r="A838" s="46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</row>
    <row r="839" spans="1:56" ht="17">
      <c r="A839" s="46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</row>
    <row r="840" spans="1:56" ht="17">
      <c r="A840" s="46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</row>
    <row r="841" spans="1:56" ht="17">
      <c r="A841" s="46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</row>
    <row r="842" spans="1:56" ht="17">
      <c r="A842" s="46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</row>
    <row r="843" spans="1:56" ht="17">
      <c r="A843" s="46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</row>
    <row r="844" spans="1:56" ht="17">
      <c r="A844" s="46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</row>
    <row r="845" spans="1:56" ht="17">
      <c r="A845" s="46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</row>
    <row r="846" spans="1:56" ht="17">
      <c r="A846" s="46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</row>
    <row r="847" spans="1:56" ht="17">
      <c r="A847" s="46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</row>
    <row r="848" spans="1:56" ht="17">
      <c r="A848" s="46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</row>
    <row r="849" spans="1:56" ht="17">
      <c r="A849" s="46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</row>
    <row r="850" spans="1:56" ht="17">
      <c r="A850" s="46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</row>
    <row r="851" spans="1:56" ht="17">
      <c r="A851" s="46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</row>
    <row r="852" spans="1:56" ht="17">
      <c r="A852" s="46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</row>
    <row r="853" spans="1:56" ht="17">
      <c r="A853" s="46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</row>
    <row r="854" spans="1:56" ht="17">
      <c r="A854" s="46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</row>
    <row r="855" spans="1:56" ht="17">
      <c r="A855" s="46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</row>
    <row r="856" spans="1:56" ht="17">
      <c r="A856" s="46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</row>
    <row r="857" spans="1:56" ht="17">
      <c r="A857" s="46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</row>
    <row r="858" spans="1:56" ht="17">
      <c r="A858" s="46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</row>
    <row r="859" spans="1:56" ht="17">
      <c r="A859" s="46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</row>
    <row r="860" spans="1:56" ht="17">
      <c r="A860" s="46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</row>
    <row r="861" spans="1:56" ht="17">
      <c r="A861" s="46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</row>
    <row r="862" spans="1:56" ht="17">
      <c r="A862" s="46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</row>
    <row r="863" spans="1:56" ht="17">
      <c r="A863" s="46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</row>
    <row r="864" spans="1:56" ht="17">
      <c r="A864" s="46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</row>
    <row r="865" spans="1:56" ht="17">
      <c r="A865" s="46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</row>
    <row r="866" spans="1:56" ht="17">
      <c r="A866" s="46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</row>
    <row r="867" spans="1:56" ht="17">
      <c r="A867" s="46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</row>
    <row r="868" spans="1:56" ht="17">
      <c r="A868" s="46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</row>
    <row r="869" spans="1:56" ht="17">
      <c r="A869" s="46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</row>
    <row r="870" spans="1:56" ht="17">
      <c r="A870" s="46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</row>
    <row r="871" spans="1:56" ht="17">
      <c r="A871" s="46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</row>
    <row r="872" spans="1:56" ht="17">
      <c r="A872" s="46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</row>
    <row r="873" spans="1:56" ht="17">
      <c r="A873" s="46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</row>
    <row r="874" spans="1:56" ht="17">
      <c r="A874" s="46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</row>
    <row r="875" spans="1:56" ht="17">
      <c r="A875" s="46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</row>
    <row r="876" spans="1:56" ht="17">
      <c r="A876" s="46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</row>
    <row r="877" spans="1:56" ht="17">
      <c r="A877" s="46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</row>
    <row r="878" spans="1:56" ht="17">
      <c r="A878" s="46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</row>
    <row r="879" spans="1:56" ht="17">
      <c r="A879" s="46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</row>
    <row r="880" spans="1:56" ht="17">
      <c r="A880" s="46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</row>
    <row r="881" spans="1:56" ht="17">
      <c r="A881" s="46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</row>
    <row r="882" spans="1:56" ht="17">
      <c r="A882" s="46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</row>
    <row r="883" spans="1:56" ht="17">
      <c r="A883" s="46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</row>
    <row r="884" spans="1:56" ht="17">
      <c r="A884" s="46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</row>
    <row r="885" spans="1:56" ht="17">
      <c r="A885" s="46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</row>
    <row r="886" spans="1:56" ht="17">
      <c r="A886" s="46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</row>
    <row r="887" spans="1:56" ht="17">
      <c r="A887" s="46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</row>
    <row r="888" spans="1:56" ht="17">
      <c r="A888" s="46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</row>
    <row r="889" spans="1:56" ht="17">
      <c r="A889" s="46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</row>
    <row r="890" spans="1:56" ht="17">
      <c r="A890" s="46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</row>
    <row r="891" spans="1:56" ht="17">
      <c r="A891" s="46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</row>
    <row r="892" spans="1:56" ht="17">
      <c r="A892" s="46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</row>
    <row r="893" spans="1:56" ht="17">
      <c r="A893" s="46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</row>
    <row r="894" spans="1:56" ht="17">
      <c r="A894" s="46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</row>
    <row r="895" spans="1:56" ht="17">
      <c r="A895" s="46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</row>
    <row r="896" spans="1:56" ht="17">
      <c r="A896" s="46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</row>
    <row r="897" spans="1:56" ht="17">
      <c r="A897" s="46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</row>
    <row r="898" spans="1:56" ht="17">
      <c r="A898" s="46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</row>
    <row r="899" spans="1:56" ht="17">
      <c r="A899" s="46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</row>
    <row r="900" spans="1:56" ht="17">
      <c r="A900" s="46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</row>
    <row r="901" spans="1:56" ht="17">
      <c r="A901" s="46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</row>
    <row r="902" spans="1:56" ht="17">
      <c r="A902" s="46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</row>
    <row r="903" spans="1:56" ht="17">
      <c r="A903" s="46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</row>
    <row r="904" spans="1:56" ht="17">
      <c r="A904" s="46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</row>
    <row r="905" spans="1:56" ht="17">
      <c r="A905" s="46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</row>
    <row r="906" spans="1:56" ht="17">
      <c r="A906" s="46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</row>
    <row r="907" spans="1:56" ht="17">
      <c r="A907" s="46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</row>
    <row r="908" spans="1:56" ht="17">
      <c r="A908" s="46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</row>
    <row r="909" spans="1:56" ht="17">
      <c r="A909" s="46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</row>
    <row r="910" spans="1:56" ht="17">
      <c r="A910" s="46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</row>
    <row r="911" spans="1:56" ht="17">
      <c r="A911" s="46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</row>
    <row r="912" spans="1:56" ht="17">
      <c r="A912" s="46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</row>
    <row r="913" spans="1:56" ht="17">
      <c r="A913" s="46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</row>
    <row r="914" spans="1:56" ht="17">
      <c r="A914" s="46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</row>
    <row r="915" spans="1:56" ht="17">
      <c r="A915" s="46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</row>
    <row r="916" spans="1:56" ht="17">
      <c r="A916" s="46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</row>
    <row r="917" spans="1:56" ht="17">
      <c r="A917" s="46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</row>
    <row r="918" spans="1:56" ht="17">
      <c r="A918" s="46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</row>
    <row r="919" spans="1:56" ht="17">
      <c r="A919" s="46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</row>
    <row r="920" spans="1:56" ht="17">
      <c r="A920" s="46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</row>
    <row r="921" spans="1:56" ht="17">
      <c r="A921" s="46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</row>
    <row r="922" spans="1:56" ht="17">
      <c r="A922" s="46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</row>
    <row r="923" spans="1:56" ht="17">
      <c r="A923" s="46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</row>
    <row r="924" spans="1:56" ht="17">
      <c r="A924" s="46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</row>
    <row r="925" spans="1:56" ht="17">
      <c r="A925" s="46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</row>
    <row r="926" spans="1:56" ht="17">
      <c r="A926" s="46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</row>
    <row r="927" spans="1:56" ht="17">
      <c r="A927" s="46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</row>
    <row r="928" spans="1:56" ht="17">
      <c r="A928" s="46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</row>
    <row r="929" spans="1:56" ht="17">
      <c r="A929" s="46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</row>
    <row r="930" spans="1:56" ht="17">
      <c r="A930" s="46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</row>
    <row r="931" spans="1:56" ht="17">
      <c r="A931" s="46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</row>
    <row r="932" spans="1:56" ht="17">
      <c r="A932" s="46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</row>
    <row r="933" spans="1:56" ht="17">
      <c r="A933" s="46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</row>
    <row r="934" spans="1:56" ht="17">
      <c r="A934" s="46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</row>
    <row r="935" spans="1:56" ht="17">
      <c r="A935" s="46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</row>
    <row r="936" spans="1:56" ht="17">
      <c r="A936" s="46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</row>
    <row r="937" spans="1:56" ht="17">
      <c r="A937" s="46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</row>
    <row r="938" spans="1:56" ht="17">
      <c r="A938" s="46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</row>
    <row r="939" spans="1:56" ht="17">
      <c r="A939" s="46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</row>
    <row r="940" spans="1:56" ht="17">
      <c r="A940" s="46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</row>
    <row r="941" spans="1:56" ht="17">
      <c r="A941" s="46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</row>
    <row r="942" spans="1:56" ht="17">
      <c r="A942" s="46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</row>
    <row r="943" spans="1:56" ht="17">
      <c r="A943" s="46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</row>
    <row r="944" spans="1:56" ht="17">
      <c r="A944" s="46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</row>
    <row r="945" spans="1:56" ht="17">
      <c r="A945" s="46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</row>
    <row r="946" spans="1:56" ht="17">
      <c r="A946" s="46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</row>
    <row r="947" spans="1:56" ht="17">
      <c r="A947" s="46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</row>
    <row r="948" spans="1:56" ht="17">
      <c r="A948" s="46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</row>
    <row r="949" spans="1:56" ht="17">
      <c r="A949" s="46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</row>
    <row r="950" spans="1:56" ht="17">
      <c r="A950" s="46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</row>
    <row r="951" spans="1:56" ht="17">
      <c r="A951" s="46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</row>
    <row r="952" spans="1:56" ht="17">
      <c r="A952" s="46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</row>
    <row r="953" spans="1:56" ht="17">
      <c r="A953" s="46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</row>
    <row r="954" spans="1:56" ht="17">
      <c r="A954" s="46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</row>
    <row r="955" spans="1:56" ht="17">
      <c r="A955" s="46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</row>
    <row r="956" spans="1:56" ht="17">
      <c r="A956" s="46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</row>
    <row r="957" spans="1:56" ht="17">
      <c r="A957" s="46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</row>
    <row r="958" spans="1:56" ht="17">
      <c r="A958" s="46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</row>
    <row r="959" spans="1:56" ht="17">
      <c r="A959" s="46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</row>
    <row r="960" spans="1:56" ht="17">
      <c r="A960" s="46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</row>
    <row r="961" spans="1:56" ht="17">
      <c r="A961" s="46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</row>
    <row r="962" spans="1:56" ht="17">
      <c r="A962" s="46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</row>
    <row r="963" spans="1:56" ht="17">
      <c r="A963" s="46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</row>
    <row r="964" spans="1:56" ht="17">
      <c r="A964" s="46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</row>
    <row r="965" spans="1:56" ht="17">
      <c r="A965" s="46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</row>
    <row r="966" spans="1:56" ht="17">
      <c r="A966" s="46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</row>
    <row r="967" spans="1:56" ht="17">
      <c r="A967" s="46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</row>
    <row r="968" spans="1:56" ht="17">
      <c r="A968" s="46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</row>
    <row r="969" spans="1:56" ht="17">
      <c r="A969" s="46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</row>
    <row r="970" spans="1:56" ht="17">
      <c r="A970" s="46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</row>
    <row r="971" spans="1:56" ht="17">
      <c r="A971" s="46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</row>
    <row r="972" spans="1:56" ht="17">
      <c r="A972" s="46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</row>
    <row r="973" spans="1:56" ht="17">
      <c r="A973" s="46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</row>
    <row r="974" spans="1:56" ht="17">
      <c r="A974" s="46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</row>
    <row r="975" spans="1:56" ht="17">
      <c r="A975" s="46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</row>
    <row r="976" spans="1:56" ht="17">
      <c r="A976" s="46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</row>
    <row r="977" spans="1:56" ht="17">
      <c r="A977" s="46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</row>
    <row r="978" spans="1:56" ht="17">
      <c r="A978" s="46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</row>
    <row r="979" spans="1:56" ht="17">
      <c r="A979" s="46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</row>
    <row r="980" spans="1:56" ht="17">
      <c r="A980" s="46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</row>
    <row r="981" spans="1:56" ht="17">
      <c r="A981" s="46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</row>
    <row r="982" spans="1:56" ht="17">
      <c r="A982" s="46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</row>
    <row r="983" spans="1:56" ht="17">
      <c r="A983" s="46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</row>
    <row r="984" spans="1:56" ht="17">
      <c r="A984" s="46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</row>
    <row r="985" spans="1:56" ht="17">
      <c r="A985" s="46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</row>
    <row r="986" spans="1:56" ht="17">
      <c r="A986" s="46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</row>
    <row r="987" spans="1:56" ht="17">
      <c r="A987" s="46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</row>
    <row r="988" spans="1:56" ht="17">
      <c r="A988" s="46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</row>
    <row r="989" spans="1:56" ht="17">
      <c r="A989" s="46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</row>
    <row r="990" spans="1:56" ht="17">
      <c r="A990" s="46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</row>
    <row r="991" spans="1:56" ht="17">
      <c r="A991" s="46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</row>
    <row r="992" spans="1:56" ht="17">
      <c r="A992" s="46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</row>
    <row r="993" spans="1:56" ht="17">
      <c r="A993" s="46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</row>
    <row r="994" spans="1:56" ht="17">
      <c r="A994" s="46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</row>
    <row r="995" spans="1:56" ht="17">
      <c r="A995" s="46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</row>
    <row r="996" spans="1:56" ht="17">
      <c r="A996" s="46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</row>
    <row r="997" spans="1:56" ht="17">
      <c r="A997" s="46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</row>
    <row r="998" spans="1:56" ht="17">
      <c r="A998" s="46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</row>
    <row r="999" spans="1:56" ht="17">
      <c r="A999" s="46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</row>
  </sheetData>
  <mergeCells count="10">
    <mergeCell ref="O2:R2"/>
    <mergeCell ref="S2:V2"/>
    <mergeCell ref="W2:AA2"/>
    <mergeCell ref="AB2:AE2"/>
    <mergeCell ref="AF2:AJ2"/>
    <mergeCell ref="A5:A17"/>
    <mergeCell ref="A18:A23"/>
    <mergeCell ref="A24:A34"/>
    <mergeCell ref="F2:I2"/>
    <mergeCell ref="J2:N2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923bfe-4f02-46da-af35-1632a08c182c" xsi:nil="true"/>
    <lcf76f155ced4ddcb4097134ff3c332f xmlns="c8004f0b-6863-441c-beb5-c414326515a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E9C1F1DB4D3B443856D2452238FAFE3" ma:contentTypeVersion="15" ma:contentTypeDescription="새 문서를 만듭니다." ma:contentTypeScope="" ma:versionID="f0f582bb47c71263dfc16ba89f180ae7">
  <xsd:schema xmlns:xsd="http://www.w3.org/2001/XMLSchema" xmlns:xs="http://www.w3.org/2001/XMLSchema" xmlns:p="http://schemas.microsoft.com/office/2006/metadata/properties" xmlns:ns2="c8004f0b-6863-441c-beb5-c414326515a3" xmlns:ns3="a5923bfe-4f02-46da-af35-1632a08c182c" targetNamespace="http://schemas.microsoft.com/office/2006/metadata/properties" ma:root="true" ma:fieldsID="d2cf30eeae05d8ba4a89e9988e0fe881" ns2:_="" ns3:_="">
    <xsd:import namespace="c8004f0b-6863-441c-beb5-c414326515a3"/>
    <xsd:import namespace="a5923bfe-4f02-46da-af35-1632a08c18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04f0b-6863-441c-beb5-c41432651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0399336-d497-4bf1-b439-58c023e25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23bfe-4f02-46da-af35-1632a08c18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c6ffa4-4cce-418b-9e48-2c9f334bd1b7}" ma:internalName="TaxCatchAll" ma:showField="CatchAllData" ma:web="a5923bfe-4f02-46da-af35-1632a08c1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F59109-1886-4402-9930-DC6A8498B1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0AFEA6-B695-4E69-AAFE-0CCFC3FAF9F2}">
  <ds:schemaRefs>
    <ds:schemaRef ds:uri="http://schemas.microsoft.com/office/2006/metadata/properties"/>
    <ds:schemaRef ds:uri="http://schemas.microsoft.com/office/infopath/2007/PartnerControls"/>
    <ds:schemaRef ds:uri="a5923bfe-4f02-46da-af35-1632a08c182c"/>
    <ds:schemaRef ds:uri="c8004f0b-6863-441c-beb5-c414326515a3"/>
  </ds:schemaRefs>
</ds:datastoreItem>
</file>

<file path=customXml/itemProps3.xml><?xml version="1.0" encoding="utf-8"?>
<ds:datastoreItem xmlns:ds="http://schemas.openxmlformats.org/officeDocument/2006/customXml" ds:itemID="{C64553E0-D6CE-4AD6-A297-63F229747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004f0b-6863-441c-beb5-c414326515a3"/>
    <ds:schemaRef ds:uri="a5923bfe-4f02-46da-af35-1632a08c18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 수집</vt:lpstr>
      <vt:lpstr>성과 관리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Hyun Soo Lee</dc:creator>
  <cp:keywords/>
  <dc:description/>
  <cp:lastModifiedBy>Hyun Soo Lee</cp:lastModifiedBy>
  <cp:revision/>
  <dcterms:created xsi:type="dcterms:W3CDTF">2026-05-19T03:27:31Z</dcterms:created>
  <dcterms:modified xsi:type="dcterms:W3CDTF">2026-06-26T06:49:13Z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0x0101001E9C1F1DB4D3B443856D2452238FAFE3</vt:lpwstr>
  </property>
  <property fmtid="{D5CDD505-2E9C-101B-9397-08002B2CF9AE}" pid="3" name="MediaServiceImageTags">
    <vt:lpwstr/>
  </property>
</Properties>
</file>